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C51B7B06-BAA2-4140-BE85-CEF80F6BCF2F}" xr6:coauthVersionLast="47" xr6:coauthVersionMax="47" xr10:uidLastSave="{00000000-0000-0000-0000-000000000000}"/>
  <bookViews>
    <workbookView xWindow="-108" yWindow="-108" windowWidth="23256" windowHeight="13896" tabRatio="787" firstSheet="1" activeTab="4" xr2:uid="{00000000-000D-0000-FFFF-FFFF00000000}"/>
  </bookViews>
  <sheets>
    <sheet name="Summary" sheetId="11" state="hidden" r:id="rId1"/>
    <sheet name="Project Prof" sheetId="16" r:id="rId2"/>
    <sheet name="Project Details" sheetId="20" state="hidden" r:id="rId3"/>
    <sheet name="Project Cost-01" sheetId="17" state="hidden" r:id="rId4"/>
    <sheet name="Lic-UiPath" sheetId="21" r:id="rId5"/>
    <sheet name="Lic-Misc" sheetId="13" r:id="rId6"/>
    <sheet name="Lic-Cyc" sheetId="23" r:id="rId7"/>
    <sheet name="Support" sheetId="9" state="hidden" r:id="rId8"/>
    <sheet name="Master File" sheetId="25" state="hidden" r:id="rId9"/>
    <sheet name="Internal" sheetId="27" state="hidden" r:id="rId10"/>
    <sheet name="Hardware" sheetId="24" state="hidden" r:id="rId11"/>
  </sheets>
  <definedNames>
    <definedName name="_xlnm.Print_Area" localSheetId="6">'Lic-Cyc'!$A$1:$L$14</definedName>
    <definedName name="_xlnm.Print_Area" localSheetId="4">'Lic-UiPath'!$A$1:$O$14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3" l="1"/>
  <c r="D14" i="13"/>
  <c r="D13" i="21"/>
  <c r="J11" i="23"/>
  <c r="I11" i="23"/>
  <c r="G11" i="23"/>
  <c r="C8" i="16"/>
  <c r="C28" i="16"/>
  <c r="F19" i="25"/>
  <c r="F20" i="25"/>
  <c r="F21" i="25"/>
  <c r="F22" i="25"/>
  <c r="F23" i="25"/>
  <c r="F24" i="25"/>
  <c r="F25" i="25"/>
  <c r="F18" i="25"/>
  <c r="G4" i="23"/>
  <c r="G5" i="23"/>
  <c r="G6" i="23"/>
  <c r="G7" i="23"/>
  <c r="G8" i="23"/>
  <c r="G9" i="23"/>
  <c r="G3" i="23"/>
  <c r="G11" i="9"/>
  <c r="H11" i="9"/>
  <c r="C10" i="16" s="1"/>
  <c r="D38" i="9"/>
  <c r="D40" i="9"/>
  <c r="C40" i="9"/>
  <c r="C38" i="9"/>
  <c r="D36" i="9"/>
  <c r="C36" i="9"/>
  <c r="D33" i="9"/>
  <c r="D34" i="9"/>
  <c r="D35" i="9"/>
  <c r="C35" i="9"/>
  <c r="C34" i="9"/>
  <c r="C33" i="9"/>
  <c r="C29" i="9"/>
  <c r="R7" i="17"/>
  <c r="C19" i="20" s="1"/>
  <c r="R10" i="17"/>
  <c r="R9" i="17"/>
  <c r="E18" i="25"/>
  <c r="E19" i="25"/>
  <c r="E20" i="25"/>
  <c r="E21" i="25"/>
  <c r="E22" i="25"/>
  <c r="E23" i="25"/>
  <c r="E24" i="25"/>
  <c r="E27" i="11"/>
  <c r="F4" i="21"/>
  <c r="F5" i="21"/>
  <c r="F6" i="21"/>
  <c r="F7" i="21"/>
  <c r="F8" i="21"/>
  <c r="F9" i="21"/>
  <c r="R6" i="17"/>
  <c r="C18" i="20" s="1"/>
  <c r="R8" i="17"/>
  <c r="C17" i="20" s="1"/>
  <c r="R11" i="17"/>
  <c r="C21" i="20"/>
  <c r="D10" i="17"/>
  <c r="F10" i="17"/>
  <c r="E25" i="25"/>
  <c r="C21" i="25"/>
  <c r="I4" i="23"/>
  <c r="I5" i="23"/>
  <c r="I6" i="23"/>
  <c r="I7" i="23"/>
  <c r="I8" i="23"/>
  <c r="I9" i="23"/>
  <c r="I3" i="23"/>
  <c r="C12" i="16"/>
  <c r="C5" i="27"/>
  <c r="C1" i="17"/>
  <c r="B23" i="11" s="1"/>
  <c r="C35" i="27"/>
  <c r="C34" i="27"/>
  <c r="C33" i="27"/>
  <c r="C32" i="27"/>
  <c r="C31" i="27"/>
  <c r="C30" i="27"/>
  <c r="C29" i="27"/>
  <c r="C17" i="27"/>
  <c r="C16" i="27"/>
  <c r="C15" i="27"/>
  <c r="C14" i="27"/>
  <c r="C13" i="27"/>
  <c r="C12" i="27"/>
  <c r="C11" i="27"/>
  <c r="H19" i="9"/>
  <c r="H20" i="9"/>
  <c r="H21" i="9"/>
  <c r="H18" i="9"/>
  <c r="F20" i="9"/>
  <c r="F19" i="9"/>
  <c r="F21" i="9"/>
  <c r="D21" i="9"/>
  <c r="D20" i="9"/>
  <c r="B20" i="9"/>
  <c r="B21" i="9"/>
  <c r="D18" i="9"/>
  <c r="D19" i="9"/>
  <c r="B19" i="9"/>
  <c r="B18" i="9"/>
  <c r="F18" i="9"/>
  <c r="F8" i="13" l="1"/>
  <c r="G8" i="13" s="1"/>
  <c r="I8" i="13" s="1"/>
  <c r="J8" i="13" s="1"/>
  <c r="F4" i="13"/>
  <c r="G4" i="13" s="1"/>
  <c r="F5" i="13"/>
  <c r="G5" i="13" s="1"/>
  <c r="I5" i="13" s="1"/>
  <c r="F6" i="13"/>
  <c r="G6" i="13" s="1"/>
  <c r="I6" i="13" s="1"/>
  <c r="F9" i="13"/>
  <c r="G9" i="13" s="1"/>
  <c r="I9" i="13" s="1"/>
  <c r="F11" i="13"/>
  <c r="G10" i="13" s="1"/>
  <c r="I10" i="13" s="1"/>
  <c r="F7" i="13"/>
  <c r="G7" i="13" s="1"/>
  <c r="I7" i="13" s="1"/>
  <c r="G4" i="21"/>
  <c r="G7" i="21"/>
  <c r="J7" i="21" s="1"/>
  <c r="G8" i="21"/>
  <c r="G5" i="21"/>
  <c r="G6" i="21"/>
  <c r="G9" i="21"/>
  <c r="J9" i="13"/>
  <c r="K9" i="13"/>
  <c r="L9" i="13"/>
  <c r="L7" i="13"/>
  <c r="M7" i="13" s="1"/>
  <c r="J7" i="13"/>
  <c r="K7" i="13"/>
  <c r="L5" i="13"/>
  <c r="J5" i="13"/>
  <c r="K5" i="13"/>
  <c r="G11" i="13"/>
  <c r="C27" i="16" s="1"/>
  <c r="K6" i="13"/>
  <c r="J6" i="13"/>
  <c r="L6" i="13"/>
  <c r="M6" i="13" s="1"/>
  <c r="L8" i="13"/>
  <c r="M8" i="13" s="1"/>
  <c r="K8" i="13"/>
  <c r="M9" i="13"/>
  <c r="I7" i="21"/>
  <c r="S10" i="17"/>
  <c r="U10" i="17" s="1"/>
  <c r="C16" i="20"/>
  <c r="J4" i="23"/>
  <c r="J5" i="23"/>
  <c r="K5" i="23"/>
  <c r="L5" i="23" s="1"/>
  <c r="J6" i="23"/>
  <c r="K6" i="23"/>
  <c r="L6" i="23" s="1"/>
  <c r="J7" i="23"/>
  <c r="K7" i="23"/>
  <c r="L7" i="23" s="1"/>
  <c r="J8" i="23"/>
  <c r="K8" i="23"/>
  <c r="L8" i="23" s="1"/>
  <c r="J9" i="23"/>
  <c r="K9" i="23"/>
  <c r="L9" i="23"/>
  <c r="K4" i="23"/>
  <c r="L4" i="23" s="1"/>
  <c r="L10" i="13" l="1"/>
  <c r="M10" i="13" s="1"/>
  <c r="K10" i="13"/>
  <c r="J10" i="13"/>
  <c r="I11" i="13"/>
  <c r="I8" i="21"/>
  <c r="L7" i="21"/>
  <c r="L5" i="21"/>
  <c r="I6" i="21"/>
  <c r="L4" i="21"/>
  <c r="L14" i="21" s="1"/>
  <c r="C24" i="25"/>
  <c r="C23" i="25"/>
  <c r="C22" i="25"/>
  <c r="C19" i="25"/>
  <c r="C20" i="25"/>
  <c r="C18" i="25"/>
  <c r="D11" i="17"/>
  <c r="F11" i="17" s="1"/>
  <c r="S11" i="17" s="1"/>
  <c r="U11" i="17" s="1"/>
  <c r="D9" i="17"/>
  <c r="F9" i="17" s="1"/>
  <c r="S9" i="17" s="1"/>
  <c r="U9" i="17" s="1"/>
  <c r="D8" i="17"/>
  <c r="F8" i="17" s="1"/>
  <c r="D7" i="17"/>
  <c r="F7" i="17" s="1"/>
  <c r="D6" i="17"/>
  <c r="F6" i="17" s="1"/>
  <c r="D5" i="17"/>
  <c r="F5" i="17" s="1"/>
  <c r="G6" i="24"/>
  <c r="I6" i="24" s="1"/>
  <c r="G5" i="24"/>
  <c r="I5" i="24" s="1"/>
  <c r="G4" i="24"/>
  <c r="I4" i="24" s="1"/>
  <c r="I4" i="13"/>
  <c r="C14" i="20"/>
  <c r="R5" i="17"/>
  <c r="F3" i="21"/>
  <c r="F11" i="21" s="1"/>
  <c r="E18" i="23"/>
  <c r="F11" i="9"/>
  <c r="C7" i="16" l="1"/>
  <c r="J11" i="13"/>
  <c r="L11" i="13"/>
  <c r="K11" i="13"/>
  <c r="M4" i="21"/>
  <c r="R13" i="17"/>
  <c r="C20" i="20"/>
  <c r="I9" i="21"/>
  <c r="L9" i="21"/>
  <c r="M9" i="21" s="1"/>
  <c r="J9" i="21"/>
  <c r="I5" i="21"/>
  <c r="J6" i="21"/>
  <c r="C15" i="20"/>
  <c r="H12" i="9"/>
  <c r="H24" i="9"/>
  <c r="H23" i="9"/>
  <c r="J4" i="13"/>
  <c r="M7" i="21"/>
  <c r="J8" i="21"/>
  <c r="L8" i="21"/>
  <c r="M5" i="21"/>
  <c r="J5" i="21"/>
  <c r="N5" i="21" s="1"/>
  <c r="O5" i="21" s="1"/>
  <c r="N7" i="21"/>
  <c r="O7" i="21" s="1"/>
  <c r="I3" i="21"/>
  <c r="J4" i="21"/>
  <c r="N4" i="21" s="1"/>
  <c r="O4" i="21" s="1"/>
  <c r="I4" i="21"/>
  <c r="G3" i="21"/>
  <c r="S5" i="17"/>
  <c r="S7" i="17"/>
  <c r="U7" i="17" s="1"/>
  <c r="S8" i="17"/>
  <c r="U8" i="17" s="1"/>
  <c r="S6" i="17"/>
  <c r="U6" i="17" s="1"/>
  <c r="K4" i="13"/>
  <c r="K4" i="24"/>
  <c r="J4" i="24"/>
  <c r="L4" i="24"/>
  <c r="I7" i="24"/>
  <c r="E32" i="11" s="1"/>
  <c r="E31" i="11" s="1"/>
  <c r="L5" i="24"/>
  <c r="M5" i="24" s="1"/>
  <c r="J5" i="24"/>
  <c r="K5" i="24"/>
  <c r="K6" i="24"/>
  <c r="J6" i="24"/>
  <c r="L6" i="24"/>
  <c r="M6" i="24" s="1"/>
  <c r="N6" i="24"/>
  <c r="O6" i="24" s="1"/>
  <c r="G7" i="24"/>
  <c r="J3" i="23"/>
  <c r="N9" i="21" l="1"/>
  <c r="O9" i="21" s="1"/>
  <c r="G11" i="21"/>
  <c r="L3" i="21"/>
  <c r="H13" i="9"/>
  <c r="H27" i="9"/>
  <c r="J3" i="21"/>
  <c r="J11" i="21" s="1"/>
  <c r="C26" i="16" s="1"/>
  <c r="C11" i="16"/>
  <c r="H25" i="9"/>
  <c r="L6" i="21"/>
  <c r="M6" i="21" s="1"/>
  <c r="U5" i="17"/>
  <c r="U13" i="17" s="1"/>
  <c r="S13" i="17"/>
  <c r="I11" i="21"/>
  <c r="M8" i="21"/>
  <c r="N8" i="21"/>
  <c r="O8" i="21" s="1"/>
  <c r="K7" i="24"/>
  <c r="L7" i="24"/>
  <c r="M7" i="24" s="1"/>
  <c r="M4" i="24"/>
  <c r="J7" i="24"/>
  <c r="E17" i="23"/>
  <c r="K3" i="23"/>
  <c r="K11" i="23" s="1"/>
  <c r="M3" i="21" l="1"/>
  <c r="M11" i="21" s="1"/>
  <c r="L11" i="21"/>
  <c r="C6" i="16" s="1"/>
  <c r="N3" i="21"/>
  <c r="N6" i="21"/>
  <c r="O6" i="21" s="1"/>
  <c r="L11" i="23"/>
  <c r="L3" i="23"/>
  <c r="N11" i="21" l="1"/>
  <c r="O11" i="21" s="1"/>
  <c r="O3" i="21"/>
  <c r="D18" i="11"/>
  <c r="E18" i="11" s="1"/>
  <c r="D19" i="17" l="1"/>
  <c r="L4" i="13"/>
  <c r="D19" i="11" l="1"/>
  <c r="D15" i="17"/>
  <c r="D17" i="17" s="1"/>
  <c r="M4" i="13"/>
  <c r="N9" i="13" l="1"/>
  <c r="O9" i="13" s="1"/>
  <c r="C5" i="16"/>
  <c r="M5" i="13"/>
  <c r="C9" i="16"/>
  <c r="E19" i="11"/>
  <c r="E23" i="11"/>
  <c r="E22" i="11" s="1"/>
  <c r="F22" i="11" s="1"/>
  <c r="E17" i="11" l="1"/>
  <c r="C5" i="11" l="1"/>
  <c r="M11" i="13" l="1"/>
  <c r="B8" i="11" l="1"/>
  <c r="C8" i="11" l="1"/>
  <c r="C9" i="11" l="1"/>
  <c r="F9" i="11" s="1"/>
  <c r="F8" i="11"/>
  <c r="E35" i="11"/>
  <c r="E36" i="11" l="1"/>
  <c r="E37" i="11" s="1"/>
  <c r="C10" i="11"/>
  <c r="C14" i="16" l="1"/>
  <c r="C15" i="16" s="1"/>
  <c r="C16" i="16" s="1"/>
  <c r="F10" i="11"/>
  <c r="C11" i="11"/>
  <c r="C12" i="11" s="1"/>
  <c r="C13" i="11" s="1"/>
  <c r="C36" i="16" l="1"/>
  <c r="C37" i="16" l="1"/>
  <c r="C38" i="16"/>
  <c r="C14" i="11" l="1"/>
</calcChain>
</file>

<file path=xl/sharedStrings.xml><?xml version="1.0" encoding="utf-8"?>
<sst xmlns="http://schemas.openxmlformats.org/spreadsheetml/2006/main" count="358" uniqueCount="217">
  <si>
    <t>Price (RM)</t>
  </si>
  <si>
    <t>A. License</t>
  </si>
  <si>
    <t xml:space="preserve"> </t>
  </si>
  <si>
    <t>Total License</t>
  </si>
  <si>
    <t>B. Implementation Services</t>
  </si>
  <si>
    <t>Total License And Implementation Services</t>
  </si>
  <si>
    <t>Support &amp; Maintenance</t>
  </si>
  <si>
    <t>Total License, Implementation Services &amp; Support</t>
  </si>
  <si>
    <t>SST</t>
  </si>
  <si>
    <t>Grand Total</t>
  </si>
  <si>
    <t>Grade</t>
  </si>
  <si>
    <t>Man-day rate (RM)</t>
  </si>
  <si>
    <t>Director</t>
  </si>
  <si>
    <t>Manager</t>
  </si>
  <si>
    <t>Senior Associate</t>
  </si>
  <si>
    <t>Associate</t>
  </si>
  <si>
    <t>Roles</t>
  </si>
  <si>
    <t>Estimated no. of days</t>
  </si>
  <si>
    <t>Estimated market fee</t>
  </si>
  <si>
    <t>Discount</t>
  </si>
  <si>
    <t>Discounted consulting fee</t>
  </si>
  <si>
    <t>Project Director</t>
  </si>
  <si>
    <t>Solution Architect</t>
  </si>
  <si>
    <t>Process Assessment &amp; PDD</t>
  </si>
  <si>
    <t>Configuration of robot process</t>
  </si>
  <si>
    <t>UAT/Handover &amp; 
Go-Live</t>
  </si>
  <si>
    <t>Total fee</t>
  </si>
  <si>
    <t>OPE</t>
  </si>
  <si>
    <t>Total Fee + OPE (excluding of Taxes)</t>
  </si>
  <si>
    <t xml:space="preserve">Blended Man-Day Rate </t>
  </si>
  <si>
    <t>Revenue</t>
  </si>
  <si>
    <t>RM</t>
  </si>
  <si>
    <t>Support Services</t>
  </si>
  <si>
    <t>Total Revenue</t>
  </si>
  <si>
    <t>Total Revenue Included SST</t>
  </si>
  <si>
    <t xml:space="preserve">Cost </t>
  </si>
  <si>
    <t>Implementation</t>
  </si>
  <si>
    <t>Developer</t>
  </si>
  <si>
    <t>Project Manager</t>
  </si>
  <si>
    <t>Support</t>
  </si>
  <si>
    <t>Travel</t>
  </si>
  <si>
    <t>Total Cost</t>
  </si>
  <si>
    <t>Total Profit</t>
  </si>
  <si>
    <t>Total Margin %</t>
  </si>
  <si>
    <t>Service</t>
  </si>
  <si>
    <t>Manday Rate</t>
  </si>
  <si>
    <t xml:space="preserve"># of Days per year </t>
  </si>
  <si>
    <t>Total</t>
  </si>
  <si>
    <t>No.</t>
  </si>
  <si>
    <t>Product Name</t>
  </si>
  <si>
    <t>Unit</t>
  </si>
  <si>
    <t>Unit Price (RM)</t>
  </si>
  <si>
    <t>Cognitive's Cost Price (RM)</t>
  </si>
  <si>
    <t>Price to Client (RM)</t>
  </si>
  <si>
    <t>Cognitive's Margin (RM)</t>
  </si>
  <si>
    <t>Cognitive's Margin (%)</t>
  </si>
  <si>
    <t>UiPath Unattended Robot</t>
  </si>
  <si>
    <t>Price to Client (RM) with SST</t>
  </si>
  <si>
    <t>Resources</t>
  </si>
  <si>
    <t>Total with SST</t>
  </si>
  <si>
    <t>Developer-1</t>
  </si>
  <si>
    <t>Total Year cost (Implementation, License &amp; support)</t>
  </si>
  <si>
    <t>ITEMS - On Premise</t>
  </si>
  <si>
    <t>RPA Developer</t>
  </si>
  <si>
    <t xml:space="preserve">SST 8% </t>
  </si>
  <si>
    <t>Business Analyst</t>
  </si>
  <si>
    <t>SST 8%</t>
  </si>
  <si>
    <t>AI Developer</t>
  </si>
  <si>
    <t>External</t>
  </si>
  <si>
    <t>Cloud</t>
  </si>
  <si>
    <t>Implementation Cost 1</t>
  </si>
  <si>
    <t>Developer-2</t>
  </si>
  <si>
    <t xml:space="preserve">ITEMS </t>
  </si>
  <si>
    <t>Project manager</t>
  </si>
  <si>
    <t>Automation of Biz &amp; eBiz Account Opening</t>
  </si>
  <si>
    <t>C. Support &amp; Maintenance</t>
  </si>
  <si>
    <t>Support Manager</t>
  </si>
  <si>
    <t>Project ID</t>
  </si>
  <si>
    <t>Remarks</t>
  </si>
  <si>
    <t>Project Information</t>
  </si>
  <si>
    <t>Items</t>
  </si>
  <si>
    <t>Customer Name</t>
  </si>
  <si>
    <t>Project Name</t>
  </si>
  <si>
    <t>COG0000000</t>
  </si>
  <si>
    <t>Please refer in acumatica CRM</t>
  </si>
  <si>
    <t>Jabatan Akauntan Negara Malaysia</t>
  </si>
  <si>
    <t>Short Customer Name</t>
  </si>
  <si>
    <t>JANM</t>
  </si>
  <si>
    <t>Automation of WTD</t>
  </si>
  <si>
    <t>This information need to link with Project costing</t>
  </si>
  <si>
    <t>Project Hours</t>
  </si>
  <si>
    <t>Mandays Rate</t>
  </si>
  <si>
    <t xml:space="preserve">Project Profitability </t>
  </si>
  <si>
    <t>Cloud Infrastructure Cost</t>
  </si>
  <si>
    <t>Project Master Data</t>
  </si>
  <si>
    <t>Project Mandays</t>
  </si>
  <si>
    <t>Quantity</t>
  </si>
  <si>
    <t>Total Price (RM)</t>
  </si>
  <si>
    <t>Unit Price</t>
  </si>
  <si>
    <t>Basic Support</t>
  </si>
  <si>
    <t>Managed Services</t>
  </si>
  <si>
    <t>D. Infrastructure</t>
  </si>
  <si>
    <t>Cloud Infrastucture - Virtual Machine</t>
  </si>
  <si>
    <t>Others</t>
  </si>
  <si>
    <t>UiPath-  Attended Robot</t>
  </si>
  <si>
    <t>Sales &amp; Service tax SST 8%</t>
  </si>
  <si>
    <t xml:space="preserve">Note </t>
  </si>
  <si>
    <t>1.The prices quoted above are valid for 30 days. Thereafter, subject to change without prior notice.</t>
  </si>
  <si>
    <t>2.The Price quoted above does not include printing cost of any deliverable materials/documents as our new policy on the ESG</t>
  </si>
  <si>
    <t>3. All price subject to Government tax guideline and subject to change according.</t>
  </si>
  <si>
    <t>4. Payment is upon confirmation of each milestone</t>
  </si>
  <si>
    <t>FY26 - Cognitive Consulting's Rate Card</t>
  </si>
  <si>
    <t>List Price (US$)</t>
  </si>
  <si>
    <t>Qty</t>
  </si>
  <si>
    <t>Total List Price (US$)</t>
  </si>
  <si>
    <t>Total List Price (RM)</t>
  </si>
  <si>
    <t>Discount to Cognitive (%)</t>
  </si>
  <si>
    <t>Cognitve's Cost Price (RM)</t>
  </si>
  <si>
    <t>Discount to Client fm List Price (%)</t>
  </si>
  <si>
    <t>UiPath - Flex - Automation Developer - Named User</t>
  </si>
  <si>
    <t>US$ to RM conversion rate :</t>
  </si>
  <si>
    <t>Difference</t>
  </si>
  <si>
    <t>UiPath - Automation Developer - Named User</t>
  </si>
  <si>
    <t>UiPath - Attended Robot - Named User</t>
  </si>
  <si>
    <t>FY26 - Cognitive Consulting's Support Rate Card</t>
  </si>
  <si>
    <t>RPA Support</t>
  </si>
  <si>
    <t>Discount Manday Rate</t>
  </si>
  <si>
    <t>Total Manday Rate</t>
  </si>
  <si>
    <t>Price to Client (RM)SST 8%</t>
  </si>
  <si>
    <t xml:space="preserve">Managed Services </t>
  </si>
  <si>
    <t>W1</t>
  </si>
  <si>
    <t>W2</t>
  </si>
  <si>
    <t>W3</t>
  </si>
  <si>
    <t>W4</t>
  </si>
  <si>
    <t>W5</t>
  </si>
  <si>
    <t>W6</t>
  </si>
  <si>
    <t>W7</t>
  </si>
  <si>
    <t>W8</t>
  </si>
  <si>
    <t>100 per week/developer</t>
  </si>
  <si>
    <t>AI Associate</t>
  </si>
  <si>
    <t>RPA Associate</t>
  </si>
  <si>
    <t>Cognitive's Mark up (RM)</t>
  </si>
  <si>
    <t>Month</t>
  </si>
  <si>
    <t>Job code</t>
  </si>
  <si>
    <t>JANM-WTD-DEV</t>
  </si>
  <si>
    <t>JANM-WTD-SUP</t>
  </si>
  <si>
    <t>JANM-WTD-DEV1</t>
  </si>
  <si>
    <t>JANM-WTD-BA</t>
  </si>
  <si>
    <t>JANM-WTD-PM</t>
  </si>
  <si>
    <t>JANM-WTD-SA</t>
  </si>
  <si>
    <t>Project Incentive</t>
  </si>
  <si>
    <t>Senior RPA  Developer</t>
  </si>
  <si>
    <t>Grade Internal Cost</t>
  </si>
  <si>
    <t xml:space="preserve">Discount </t>
  </si>
  <si>
    <t>Discounted Man-days rate</t>
  </si>
  <si>
    <t>Manager/Solution Arch</t>
  </si>
  <si>
    <t>Senior AI Associate</t>
  </si>
  <si>
    <t>Process Name</t>
  </si>
  <si>
    <t>UiPath - Flex - Action Center - Named User</t>
  </si>
  <si>
    <t>UiPath - Flex - Citizen Developer - Named User</t>
  </si>
  <si>
    <t>UiPath - Flex - Unattended Robot</t>
  </si>
  <si>
    <t>UiPath - Flex - Unattended Robot - Test</t>
  </si>
  <si>
    <t>UiPath - Flex - Automation Hub</t>
  </si>
  <si>
    <t>UiPath - Flex - AI Unit Bundle - 60K</t>
  </si>
  <si>
    <t>Total Discounted Price (USD)</t>
  </si>
  <si>
    <t>UiPath License</t>
  </si>
  <si>
    <t>Updated 23/4/2025</t>
  </si>
  <si>
    <t>Cyclone - Attended Robot</t>
  </si>
  <si>
    <t>Cyclone - Unattended Robot</t>
  </si>
  <si>
    <t>Cyclone - Intelligent Document Processing (60k)</t>
  </si>
  <si>
    <t>Clyclone - Designer</t>
  </si>
  <si>
    <t>Cyclone - Unattended Robot-Test</t>
  </si>
  <si>
    <t>Cyclone - COE</t>
  </si>
  <si>
    <t>Cyclone - Controller</t>
  </si>
  <si>
    <t>Cyclone License</t>
  </si>
  <si>
    <t>Power Automate Premium</t>
  </si>
  <si>
    <t>Power Automate Process</t>
  </si>
  <si>
    <t>Grand total</t>
  </si>
  <si>
    <t xml:space="preserve">Grade </t>
  </si>
  <si>
    <t>Internal Costing</t>
  </si>
  <si>
    <t>Project Details</t>
  </si>
  <si>
    <t>Project Name 1</t>
  </si>
  <si>
    <t>Project Name 2</t>
  </si>
  <si>
    <t>Project Name 3</t>
  </si>
  <si>
    <t>Project Name 4</t>
  </si>
  <si>
    <t>Project Name 5</t>
  </si>
  <si>
    <t>Automation of WTD 1</t>
  </si>
  <si>
    <t>Automation of WTD 2</t>
  </si>
  <si>
    <t>Automation of WTD 3</t>
  </si>
  <si>
    <t>Automation of WTD 4</t>
  </si>
  <si>
    <t>Examples</t>
  </si>
  <si>
    <t>Please refer in acumatica CRM - Opportunity ID Number</t>
  </si>
  <si>
    <t>UiPath License Cost</t>
  </si>
  <si>
    <t>Other License</t>
  </si>
  <si>
    <t>Discount Pricing</t>
  </si>
  <si>
    <t>RPA Developer 1</t>
  </si>
  <si>
    <t>RPA Developer 2</t>
  </si>
  <si>
    <t>Per Days</t>
  </si>
  <si>
    <t>W9 - 12</t>
  </si>
  <si>
    <t>Warranty Period</t>
  </si>
  <si>
    <t>PSDD</t>
  </si>
  <si>
    <t>JIM RECON/FINBOT</t>
  </si>
  <si>
    <t>DeRantau</t>
  </si>
  <si>
    <t>Total Mandays</t>
  </si>
  <si>
    <t>Final Price</t>
  </si>
  <si>
    <t>Total Price</t>
  </si>
  <si>
    <t>Microsoft - Azure Custom (Overage 17k pages)</t>
  </si>
  <si>
    <t>Microsoft - Azure Custom (Commitment 20K pages)</t>
  </si>
  <si>
    <t>Budgetary</t>
  </si>
  <si>
    <t>Microsoft License Cost</t>
  </si>
  <si>
    <t>Cyclone License Cost</t>
  </si>
  <si>
    <t>Power BI Pro</t>
  </si>
  <si>
    <t>Power Bi Premium</t>
  </si>
  <si>
    <t>License -UiPath</t>
  </si>
  <si>
    <t>License -Microsoft</t>
  </si>
  <si>
    <t>License -Cyclone</t>
  </si>
  <si>
    <t>AI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</si>
</sst>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%"/>
    <numFmt numFmtId="167" formatCode="_-* #,##0.0_-;\-* #,##0.0_-;_-* &quot;-&quot;??_-;_-@_-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i/>
      <sz val="10"/>
      <color theme="0"/>
      <name val="Arial"/>
      <family val="2"/>
      <scheme val="minor"/>
    </font>
    <font>
      <b/>
      <i/>
      <u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sz val="11"/>
      <color rgb="FF000000"/>
      <name val="Calibri"/>
      <family val="2"/>
    </font>
    <font>
      <b/>
      <i/>
      <sz val="10"/>
      <color theme="9" tint="0.39997558519241921"/>
      <name val="Arial"/>
      <family val="2"/>
      <scheme val="minor"/>
    </font>
    <font>
      <sz val="10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FEF3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0" fontId="3" fillId="0" borderId="3" xfId="0" applyFont="1" applyBorder="1"/>
    <xf numFmtId="0" fontId="5" fillId="2" borderId="1" xfId="0" applyFont="1" applyFill="1" applyBorder="1"/>
    <xf numFmtId="0" fontId="6" fillId="0" borderId="0" xfId="0" applyFont="1"/>
    <xf numFmtId="165" fontId="0" fillId="0" borderId="0" xfId="0" applyNumberFormat="1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/>
    <xf numFmtId="165" fontId="3" fillId="0" borderId="4" xfId="1" applyNumberFormat="1" applyFont="1" applyBorder="1"/>
    <xf numFmtId="0" fontId="5" fillId="2" borderId="1" xfId="0" applyFont="1" applyFill="1" applyBorder="1" applyAlignment="1">
      <alignment horizontal="right"/>
    </xf>
    <xf numFmtId="0" fontId="4" fillId="0" borderId="0" xfId="0" applyFont="1"/>
    <xf numFmtId="0" fontId="9" fillId="0" borderId="0" xfId="0" applyFont="1"/>
    <xf numFmtId="164" fontId="9" fillId="0" borderId="0" xfId="0" applyNumberFormat="1" applyFont="1"/>
    <xf numFmtId="165" fontId="7" fillId="0" borderId="8" xfId="1" applyNumberFormat="1" applyFont="1" applyBorder="1"/>
    <xf numFmtId="165" fontId="4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164" fontId="0" fillId="0" borderId="1" xfId="1" applyFont="1" applyBorder="1"/>
    <xf numFmtId="165" fontId="3" fillId="6" borderId="1" xfId="1" applyNumberFormat="1" applyFont="1" applyFill="1" applyBorder="1"/>
    <xf numFmtId="165" fontId="3" fillId="6" borderId="2" xfId="1" applyNumberFormat="1" applyFont="1" applyFill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4" fontId="3" fillId="0" borderId="1" xfId="0" applyNumberFormat="1" applyFont="1" applyBorder="1"/>
    <xf numFmtId="0" fontId="0" fillId="5" borderId="9" xfId="0" applyFill="1" applyBorder="1"/>
    <xf numFmtId="164" fontId="0" fillId="5" borderId="1" xfId="1" applyFont="1" applyFill="1" applyBorder="1"/>
    <xf numFmtId="164" fontId="7" fillId="5" borderId="1" xfId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horizontal="left"/>
    </xf>
    <xf numFmtId="164" fontId="0" fillId="0" borderId="1" xfId="0" applyNumberFormat="1" applyBorder="1"/>
    <xf numFmtId="0" fontId="3" fillId="0" borderId="1" xfId="0" applyFont="1" applyBorder="1" applyAlignment="1">
      <alignment horizontal="left" indent="3"/>
    </xf>
    <xf numFmtId="0" fontId="3" fillId="0" borderId="1" xfId="0" applyFont="1" applyBorder="1" applyAlignment="1">
      <alignment horizontal="left"/>
    </xf>
    <xf numFmtId="0" fontId="3" fillId="0" borderId="10" xfId="0" applyFont="1" applyBorder="1" applyAlignment="1">
      <alignment horizontal="left" indent="3"/>
    </xf>
    <xf numFmtId="0" fontId="12" fillId="0" borderId="0" xfId="0" applyFont="1"/>
    <xf numFmtId="0" fontId="13" fillId="0" borderId="0" xfId="0" applyFont="1"/>
    <xf numFmtId="164" fontId="13" fillId="0" borderId="0" xfId="0" applyNumberFormat="1" applyFont="1"/>
    <xf numFmtId="10" fontId="4" fillId="0" borderId="1" xfId="2" applyNumberFormat="1" applyFont="1" applyBorder="1"/>
    <xf numFmtId="0" fontId="0" fillId="0" borderId="0" xfId="0" applyAlignment="1">
      <alignment horizontal="center"/>
    </xf>
    <xf numFmtId="164" fontId="3" fillId="0" borderId="0" xfId="0" applyNumberFormat="1" applyFont="1"/>
    <xf numFmtId="10" fontId="4" fillId="0" borderId="0" xfId="2" applyNumberFormat="1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10" fontId="0" fillId="0" borderId="1" xfId="1" applyNumberFormat="1" applyFont="1" applyBorder="1"/>
    <xf numFmtId="0" fontId="7" fillId="5" borderId="9" xfId="0" applyFont="1" applyFill="1" applyBorder="1"/>
    <xf numFmtId="0" fontId="7" fillId="5" borderId="11" xfId="0" applyFont="1" applyFill="1" applyBorder="1"/>
    <xf numFmtId="164" fontId="1" fillId="5" borderId="1" xfId="1" applyFont="1" applyFill="1" applyBorder="1"/>
    <xf numFmtId="0" fontId="7" fillId="5" borderId="12" xfId="0" applyFont="1" applyFill="1" applyBorder="1"/>
    <xf numFmtId="3" fontId="7" fillId="5" borderId="1" xfId="0" applyNumberFormat="1" applyFont="1" applyFill="1" applyBorder="1"/>
    <xf numFmtId="4" fontId="0" fillId="0" borderId="0" xfId="0" applyNumberFormat="1"/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164" fontId="0" fillId="0" borderId="1" xfId="1" applyFont="1" applyFill="1" applyBorder="1"/>
    <xf numFmtId="0" fontId="8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/>
    <xf numFmtId="164" fontId="0" fillId="0" borderId="1" xfId="1" applyFont="1" applyBorder="1" applyAlignment="1">
      <alignment horizontal="center"/>
    </xf>
    <xf numFmtId="0" fontId="10" fillId="0" borderId="0" xfId="0" applyFont="1"/>
    <xf numFmtId="164" fontId="3" fillId="0" borderId="1" xfId="1" applyFont="1" applyBorder="1" applyAlignment="1">
      <alignment horizontal="left"/>
    </xf>
    <xf numFmtId="164" fontId="3" fillId="0" borderId="1" xfId="1" applyFont="1" applyBorder="1"/>
    <xf numFmtId="164" fontId="13" fillId="0" borderId="1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0" fillId="0" borderId="1" xfId="1" applyFont="1" applyBorder="1" applyAlignment="1">
      <alignment horizontal="center" vertical="center"/>
    </xf>
    <xf numFmtId="3" fontId="7" fillId="5" borderId="0" xfId="0" applyNumberFormat="1" applyFont="1" applyFill="1"/>
    <xf numFmtId="164" fontId="7" fillId="5" borderId="0" xfId="1" applyFont="1" applyFill="1" applyBorder="1"/>
    <xf numFmtId="164" fontId="0" fillId="5" borderId="0" xfId="1" applyFont="1" applyFill="1" applyBorder="1"/>
    <xf numFmtId="164" fontId="1" fillId="5" borderId="0" xfId="1" applyFont="1" applyFill="1" applyBorder="1"/>
    <xf numFmtId="164" fontId="7" fillId="9" borderId="1" xfId="1" applyFont="1" applyFill="1" applyBorder="1" applyAlignment="1">
      <alignment horizontal="center" vertical="center"/>
    </xf>
    <xf numFmtId="164" fontId="14" fillId="2" borderId="1" xfId="1" applyFont="1" applyFill="1" applyBorder="1"/>
    <xf numFmtId="164" fontId="14" fillId="2" borderId="1" xfId="1" applyFont="1" applyFill="1" applyBorder="1" applyAlignment="1">
      <alignment horizontal="right"/>
    </xf>
    <xf numFmtId="164" fontId="14" fillId="2" borderId="1" xfId="1" applyFont="1" applyFill="1" applyBorder="1" applyAlignment="1">
      <alignment horizontal="left"/>
    </xf>
    <xf numFmtId="0" fontId="15" fillId="0" borderId="0" xfId="0" applyFont="1"/>
    <xf numFmtId="0" fontId="16" fillId="0" borderId="1" xfId="0" applyFont="1" applyBorder="1" applyAlignment="1">
      <alignment vertical="center" wrapText="1" readingOrder="1"/>
    </xf>
    <xf numFmtId="164" fontId="3" fillId="7" borderId="1" xfId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9" fontId="3" fillId="7" borderId="1" xfId="2" applyFont="1" applyFill="1" applyBorder="1" applyAlignment="1">
      <alignment horizontal="center" vertical="center"/>
    </xf>
    <xf numFmtId="166" fontId="3" fillId="7" borderId="1" xfId="2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6" fontId="3" fillId="0" borderId="1" xfId="2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4" fontId="4" fillId="8" borderId="1" xfId="0" applyNumberFormat="1" applyFont="1" applyFill="1" applyBorder="1"/>
    <xf numFmtId="166" fontId="4" fillId="0" borderId="1" xfId="2" applyNumberFormat="1" applyFont="1" applyBorder="1" applyAlignment="1">
      <alignment horizontal="center"/>
    </xf>
    <xf numFmtId="0" fontId="3" fillId="7" borderId="0" xfId="0" applyFont="1" applyFill="1"/>
    <xf numFmtId="10" fontId="3" fillId="0" borderId="1" xfId="2" applyNumberFormat="1" applyFont="1" applyBorder="1"/>
    <xf numFmtId="0" fontId="17" fillId="2" borderId="1" xfId="0" applyFont="1" applyFill="1" applyBorder="1"/>
    <xf numFmtId="165" fontId="7" fillId="0" borderId="0" xfId="1" applyNumberFormat="1" applyFont="1" applyBorder="1"/>
    <xf numFmtId="165" fontId="12" fillId="0" borderId="0" xfId="0" applyNumberFormat="1" applyFont="1"/>
    <xf numFmtId="9" fontId="0" fillId="0" borderId="1" xfId="1" applyNumberFormat="1" applyFont="1" applyBorder="1"/>
    <xf numFmtId="164" fontId="3" fillId="0" borderId="1" xfId="1" applyFont="1" applyBorder="1" applyAlignment="1">
      <alignment horizontal="center"/>
    </xf>
    <xf numFmtId="165" fontId="3" fillId="7" borderId="1" xfId="1" applyNumberFormat="1" applyFont="1" applyFill="1" applyBorder="1"/>
    <xf numFmtId="9" fontId="3" fillId="7" borderId="2" xfId="2" applyFont="1" applyFill="1" applyBorder="1"/>
    <xf numFmtId="0" fontId="16" fillId="0" borderId="6" xfId="0" applyFont="1" applyBorder="1" applyAlignment="1">
      <alignment vertical="center" wrapText="1" readingOrder="1"/>
    </xf>
    <xf numFmtId="9" fontId="3" fillId="0" borderId="1" xfId="2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vertical="center"/>
    </xf>
    <xf numFmtId="166" fontId="3" fillId="0" borderId="1" xfId="2" applyNumberFormat="1" applyFont="1" applyFill="1" applyBorder="1" applyAlignment="1">
      <alignment vertical="center"/>
    </xf>
    <xf numFmtId="164" fontId="18" fillId="0" borderId="1" xfId="1" applyFont="1" applyBorder="1" applyAlignment="1">
      <alignment horizontal="left" vertical="center" wrapText="1" readingOrder="1"/>
    </xf>
    <xf numFmtId="164" fontId="18" fillId="10" borderId="1" xfId="1" applyFont="1" applyFill="1" applyBorder="1" applyAlignment="1">
      <alignment horizontal="left" vertical="center" wrapText="1" readingOrder="1"/>
    </xf>
    <xf numFmtId="164" fontId="0" fillId="7" borderId="1" xfId="1" applyFont="1" applyFill="1" applyBorder="1"/>
    <xf numFmtId="164" fontId="7" fillId="0" borderId="0" xfId="1" applyFont="1" applyFill="1" applyBorder="1"/>
    <xf numFmtId="164" fontId="0" fillId="7" borderId="1" xfId="1" quotePrefix="1" applyFont="1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9" fontId="0" fillId="7" borderId="1" xfId="1" applyNumberFormat="1" applyFont="1" applyFill="1" applyBorder="1"/>
    <xf numFmtId="164" fontId="13" fillId="7" borderId="1" xfId="1" applyFont="1" applyFill="1" applyBorder="1" applyAlignment="1">
      <alignment vertical="center"/>
    </xf>
    <xf numFmtId="165" fontId="3" fillId="0" borderId="0" xfId="1" applyNumberFormat="1" applyFont="1" applyFill="1" applyBorder="1"/>
    <xf numFmtId="165" fontId="3" fillId="0" borderId="6" xfId="1" applyNumberFormat="1" applyFont="1" applyFill="1" applyBorder="1"/>
    <xf numFmtId="165" fontId="3" fillId="0" borderId="5" xfId="1" applyNumberFormat="1" applyFont="1" applyFill="1" applyBorder="1"/>
    <xf numFmtId="165" fontId="3" fillId="0" borderId="7" xfId="1" applyNumberFormat="1" applyFont="1" applyFill="1" applyBorder="1"/>
    <xf numFmtId="165" fontId="3" fillId="0" borderId="1" xfId="1" applyNumberFormat="1" applyFont="1" applyFill="1" applyBorder="1"/>
    <xf numFmtId="165" fontId="3" fillId="0" borderId="13" xfId="1" applyNumberFormat="1" applyFont="1" applyFill="1" applyBorder="1"/>
    <xf numFmtId="9" fontId="3" fillId="0" borderId="13" xfId="2" applyFont="1" applyFill="1" applyBorder="1"/>
    <xf numFmtId="164" fontId="7" fillId="11" borderId="0" xfId="0" applyNumberFormat="1" applyFont="1" applyFill="1"/>
    <xf numFmtId="165" fontId="3" fillId="0" borderId="14" xfId="1" applyNumberFormat="1" applyFont="1" applyBorder="1"/>
    <xf numFmtId="165" fontId="3" fillId="0" borderId="15" xfId="1" applyNumberFormat="1" applyFont="1" applyBorder="1"/>
    <xf numFmtId="165" fontId="3" fillId="0" borderId="16" xfId="1" applyNumberFormat="1" applyFont="1" applyBorder="1"/>
    <xf numFmtId="0" fontId="3" fillId="0" borderId="17" xfId="0" applyFont="1" applyBorder="1"/>
    <xf numFmtId="164" fontId="7" fillId="3" borderId="1" xfId="1" applyFont="1" applyFill="1" applyBorder="1"/>
    <xf numFmtId="164" fontId="7" fillId="3" borderId="1" xfId="1" applyFont="1" applyFill="1" applyBorder="1" applyAlignment="1">
      <alignment horizontal="center"/>
    </xf>
    <xf numFmtId="164" fontId="7" fillId="8" borderId="1" xfId="1" applyFont="1" applyFill="1" applyBorder="1"/>
    <xf numFmtId="164" fontId="7" fillId="8" borderId="1" xfId="1" applyFont="1" applyFill="1" applyBorder="1" applyAlignment="1">
      <alignment horizontal="center"/>
    </xf>
    <xf numFmtId="164" fontId="0" fillId="9" borderId="1" xfId="1" applyFont="1" applyFill="1" applyBorder="1" applyAlignment="1">
      <alignment horizontal="left" vertical="center" wrapText="1"/>
    </xf>
    <xf numFmtId="164" fontId="0" fillId="0" borderId="1" xfId="1" applyFont="1" applyFill="1" applyBorder="1" applyAlignment="1">
      <alignment vertical="center"/>
    </xf>
    <xf numFmtId="164" fontId="0" fillId="0" borderId="1" xfId="1" applyFont="1" applyFill="1" applyBorder="1" applyAlignment="1">
      <alignment horizontal="center" vertical="center"/>
    </xf>
    <xf numFmtId="164" fontId="7" fillId="8" borderId="1" xfId="1" applyFont="1" applyFill="1" applyBorder="1" applyAlignment="1">
      <alignment vertical="center"/>
    </xf>
    <xf numFmtId="164" fontId="7" fillId="8" borderId="1" xfId="1" applyFont="1" applyFill="1" applyBorder="1" applyAlignment="1">
      <alignment horizontal="center" vertical="center"/>
    </xf>
    <xf numFmtId="164" fontId="0" fillId="0" borderId="1" xfId="1" applyFont="1" applyFill="1" applyBorder="1" applyAlignment="1">
      <alignment horizontal="left" vertical="center"/>
    </xf>
    <xf numFmtId="164" fontId="0" fillId="8" borderId="1" xfId="1" applyFont="1" applyFill="1" applyBorder="1" applyAlignment="1">
      <alignment vertical="center"/>
    </xf>
    <xf numFmtId="164" fontId="0" fillId="8" borderId="1" xfId="1" applyFont="1" applyFill="1" applyBorder="1" applyAlignment="1">
      <alignment horizontal="center" vertical="center"/>
    </xf>
    <xf numFmtId="164" fontId="1" fillId="8" borderId="1" xfId="1" applyFont="1" applyFill="1" applyBorder="1" applyAlignment="1">
      <alignment horizontal="center" vertical="center"/>
    </xf>
    <xf numFmtId="164" fontId="7" fillId="0" borderId="1" xfId="1" applyFont="1" applyFill="1" applyBorder="1" applyAlignment="1">
      <alignment horizontal="center" vertical="center"/>
    </xf>
    <xf numFmtId="164" fontId="7" fillId="0" borderId="1" xfId="1" applyFont="1" applyFill="1" applyBorder="1" applyAlignment="1">
      <alignment vertical="center"/>
    </xf>
    <xf numFmtId="164" fontId="0" fillId="4" borderId="1" xfId="1" applyFont="1" applyFill="1" applyBorder="1" applyAlignment="1">
      <alignment vertical="center"/>
    </xf>
    <xf numFmtId="164" fontId="0" fillId="4" borderId="1" xfId="1" applyFont="1" applyFill="1" applyBorder="1" applyAlignment="1">
      <alignment horizontal="center" vertical="center"/>
    </xf>
    <xf numFmtId="164" fontId="1" fillId="4" borderId="1" xfId="1" applyFont="1" applyFill="1" applyBorder="1" applyAlignment="1">
      <alignment horizontal="center" vertical="center"/>
    </xf>
    <xf numFmtId="0" fontId="0" fillId="9" borderId="1" xfId="1" applyNumberFormat="1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right"/>
    </xf>
    <xf numFmtId="167" fontId="3" fillId="7" borderId="1" xfId="1" applyNumberFormat="1" applyFont="1" applyFill="1" applyBorder="1"/>
    <xf numFmtId="0" fontId="8" fillId="0" borderId="7" xfId="0" applyFont="1" applyBorder="1" applyAlignment="1">
      <alignment horizontal="center" vertical="center" textRotation="90" wrapText="1"/>
    </xf>
    <xf numFmtId="0" fontId="0" fillId="0" borderId="19" xfId="0" applyBorder="1"/>
    <xf numFmtId="164" fontId="0" fillId="0" borderId="20" xfId="1" applyFont="1" applyBorder="1"/>
    <xf numFmtId="0" fontId="0" fillId="0" borderId="21" xfId="0" applyBorder="1"/>
    <xf numFmtId="164" fontId="0" fillId="0" borderId="22" xfId="1" applyFont="1" applyBorder="1"/>
    <xf numFmtId="164" fontId="0" fillId="0" borderId="23" xfId="1" applyFont="1" applyBorder="1"/>
    <xf numFmtId="0" fontId="0" fillId="0" borderId="24" xfId="0" applyBorder="1"/>
    <xf numFmtId="164" fontId="0" fillId="0" borderId="25" xfId="1" applyFont="1" applyBorder="1"/>
    <xf numFmtId="164" fontId="0" fillId="0" borderId="26" xfId="1" applyFont="1" applyBorder="1"/>
    <xf numFmtId="0" fontId="0" fillId="0" borderId="27" xfId="0" applyBorder="1"/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9" fontId="0" fillId="0" borderId="0" xfId="2" applyFont="1"/>
    <xf numFmtId="165" fontId="0" fillId="7" borderId="1" xfId="1" applyNumberFormat="1" applyFont="1" applyFill="1" applyBorder="1" applyAlignment="1">
      <alignment horizontal="center" vertical="center" wrapText="1"/>
    </xf>
    <xf numFmtId="164" fontId="0" fillId="7" borderId="1" xfId="1" applyFont="1" applyFill="1" applyBorder="1" applyAlignment="1">
      <alignment horizontal="center" wrapText="1"/>
    </xf>
    <xf numFmtId="9" fontId="7" fillId="0" borderId="1" xfId="1" applyNumberFormat="1" applyFont="1" applyBorder="1"/>
    <xf numFmtId="164" fontId="7" fillId="0" borderId="1" xfId="1" applyFont="1" applyBorder="1"/>
    <xf numFmtId="164" fontId="7" fillId="0" borderId="1" xfId="1" applyFont="1" applyFill="1" applyBorder="1"/>
    <xf numFmtId="0" fontId="3" fillId="12" borderId="0" xfId="0" applyFont="1" applyFill="1"/>
    <xf numFmtId="0" fontId="3" fillId="0" borderId="10" xfId="0" applyFont="1" applyBorder="1"/>
    <xf numFmtId="0" fontId="8" fillId="0" borderId="6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EFEF3"/>
      <color rgb="FF059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224117</xdr:colOff>
      <xdr:row>20</xdr:row>
      <xdr:rowOff>42794</xdr:rowOff>
    </xdr:from>
    <xdr:to>
      <xdr:col>6</xdr:col>
      <xdr:colOff>526676</xdr:colOff>
      <xdr:row>24</xdr:row>
      <xdr:rowOff>115499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1FE29-BF9D-26DB-F478-165CBFB7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117" y="4203912"/>
          <a:ext cx="6062383" cy="7002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48845</xdr:colOff>
      <xdr:row>15</xdr:row>
      <xdr:rowOff>8142</xdr:rowOff>
    </xdr:from>
    <xdr:to>
      <xdr:col>10</xdr:col>
      <xdr:colOff>909147</xdr:colOff>
      <xdr:row>35</xdr:row>
      <xdr:rowOff>155212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81C2A-6BBF-D222-459C-D1C0D19B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063" y="3093591"/>
          <a:ext cx="11345943" cy="3729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wC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E27588"/>
      </a:accent4>
      <a:accent5>
        <a:srgbClr val="A32020"/>
      </a:accent5>
      <a:accent6>
        <a:srgbClr val="E0301E"/>
      </a:accent6>
      <a:hlink>
        <a:srgbClr val="0000FF"/>
      </a:hlink>
      <a:folHlink>
        <a:srgbClr val="0000FF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ltGray">
        <a:solidFill>
          <a:schemeClr val="tx2"/>
        </a:solidFill>
        <a:ln w="3175"/>
      </a:spPr>
      <a:bodyPr rtlCol="0" anchor="ctr"/>
      <a:lstStyle>
        <a:defPPr algn="ctr">
          <a:defRPr dirty="0" err="1" smtClean="0">
            <a:solidFill>
              <a:schemeClr val="bg1"/>
            </a:solidFill>
            <a:latin typeface="Georgia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indent="-274320">
          <a:spcAft>
            <a:spcPts val="900"/>
          </a:spcAft>
          <a:defRPr sz="2000" dirty="0" err="1" smtClean="0">
            <a:latin typeface="Georgia" pitchFamily="18" charset="0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0BFF-D50B-4A6D-B694-8BA6302B06F7}">
  <dimension ref="B2:F44"/>
  <sheetViews>
    <sheetView zoomScale="70" zoomScaleNormal="70" workbookViewId="0">
      <selection activeCell="B25" sqref="B25"/>
    </sheetView>
  </sheetViews>
  <sheetFormatPr defaultRowHeight="13.8" x14ac:dyDescent="0.25"/>
  <cols>
    <col min="1" max="1" width="5.296875" customWidth="1"/>
    <col min="2" max="2" width="52.09765625" customWidth="1"/>
    <col min="3" max="3" width="13.09765625" bestFit="1" customWidth="1"/>
    <col min="4" max="4" width="14.59765625" bestFit="1" customWidth="1"/>
    <col min="5" max="5" width="14.296875" bestFit="1" customWidth="1"/>
    <col min="6" max="6" width="11.5" bestFit="1" customWidth="1"/>
    <col min="8" max="8" width="9.09765625" bestFit="1" customWidth="1"/>
    <col min="9" max="9" width="10.09765625" bestFit="1" customWidth="1"/>
  </cols>
  <sheetData>
    <row r="2" spans="2:6" hidden="1" x14ac:dyDescent="0.25">
      <c r="B2" s="29" t="s">
        <v>62</v>
      </c>
      <c r="C2" s="30" t="s">
        <v>0</v>
      </c>
      <c r="D2" s="30"/>
    </row>
    <row r="3" spans="2:6" ht="14.4" hidden="1" thickBot="1" x14ac:dyDescent="0.3">
      <c r="B3" s="29"/>
      <c r="C3" s="30"/>
      <c r="D3" s="30"/>
    </row>
    <row r="4" spans="2:6" hidden="1" x14ac:dyDescent="0.25">
      <c r="B4" s="60" t="s">
        <v>1</v>
      </c>
      <c r="C4" s="61" t="s">
        <v>2</v>
      </c>
      <c r="D4" s="77"/>
      <c r="F4" s="62"/>
    </row>
    <row r="5" spans="2:6" hidden="1" x14ac:dyDescent="0.25">
      <c r="B5" s="37" t="s">
        <v>3</v>
      </c>
      <c r="C5" s="39" t="e">
        <f>'Lic-Misc'!#REF!</f>
        <v>#REF!</v>
      </c>
      <c r="D5" s="78"/>
      <c r="F5" s="40"/>
    </row>
    <row r="6" spans="2:6" hidden="1" x14ac:dyDescent="0.25">
      <c r="B6" s="37"/>
      <c r="C6" s="38"/>
      <c r="D6" s="79"/>
    </row>
    <row r="7" spans="2:6" hidden="1" x14ac:dyDescent="0.25">
      <c r="B7" s="57" t="s">
        <v>4</v>
      </c>
      <c r="C7" s="39"/>
      <c r="D7" s="78"/>
    </row>
    <row r="8" spans="2:6" hidden="1" x14ac:dyDescent="0.25">
      <c r="B8" s="37" t="e">
        <f>#REF!</f>
        <v>#REF!</v>
      </c>
      <c r="C8" s="38" t="e">
        <f>#REF!</f>
        <v>#REF!</v>
      </c>
      <c r="D8" s="79"/>
      <c r="F8" s="40" t="e">
        <f>SUM(C8:E8)</f>
        <v>#REF!</v>
      </c>
    </row>
    <row r="9" spans="2:6" s="5" customFormat="1" hidden="1" x14ac:dyDescent="0.25">
      <c r="B9" s="37" t="s">
        <v>5</v>
      </c>
      <c r="C9" s="38" t="e">
        <f>C5+C8</f>
        <v>#REF!</v>
      </c>
      <c r="D9" s="79"/>
      <c r="E9"/>
      <c r="F9" s="40" t="e">
        <f>SUM(C9:E9)</f>
        <v>#REF!</v>
      </c>
    </row>
    <row r="10" spans="2:6" hidden="1" x14ac:dyDescent="0.25">
      <c r="B10" s="37" t="s">
        <v>6</v>
      </c>
      <c r="C10" s="38" t="e">
        <f>Support!#REF!</f>
        <v>#REF!</v>
      </c>
      <c r="D10" s="79"/>
      <c r="F10" s="40" t="e">
        <f>SUM(C10:E10)</f>
        <v>#REF!</v>
      </c>
    </row>
    <row r="11" spans="2:6" hidden="1" x14ac:dyDescent="0.25">
      <c r="B11" s="37" t="s">
        <v>7</v>
      </c>
      <c r="C11" s="59" t="e">
        <f>C8+C5+C10</f>
        <v>#REF!</v>
      </c>
      <c r="D11" s="80"/>
      <c r="F11" s="40"/>
    </row>
    <row r="12" spans="2:6" hidden="1" x14ac:dyDescent="0.25">
      <c r="B12" s="57" t="s">
        <v>61</v>
      </c>
      <c r="C12" s="39" t="e">
        <f>C11</f>
        <v>#REF!</v>
      </c>
      <c r="D12" s="78"/>
    </row>
    <row r="13" spans="2:6" hidden="1" x14ac:dyDescent="0.25">
      <c r="B13" s="37" t="s">
        <v>8</v>
      </c>
      <c r="C13" s="59" t="e">
        <f>(C12)*0.08</f>
        <v>#REF!</v>
      </c>
      <c r="D13" s="80"/>
    </row>
    <row r="14" spans="2:6" ht="14.4" hidden="1" thickBot="1" x14ac:dyDescent="0.3">
      <c r="B14" s="58" t="s">
        <v>9</v>
      </c>
      <c r="C14" s="39" t="e">
        <f>C12+C13</f>
        <v>#REF!</v>
      </c>
      <c r="D14" s="78"/>
    </row>
    <row r="16" spans="2:6" x14ac:dyDescent="0.25">
      <c r="B16" s="130" t="s">
        <v>72</v>
      </c>
      <c r="C16" s="131" t="s">
        <v>96</v>
      </c>
      <c r="D16" s="131" t="s">
        <v>98</v>
      </c>
      <c r="E16" s="131" t="s">
        <v>97</v>
      </c>
    </row>
    <row r="17" spans="2:6" x14ac:dyDescent="0.25">
      <c r="B17" s="132" t="s">
        <v>1</v>
      </c>
      <c r="C17" s="132"/>
      <c r="D17" s="132"/>
      <c r="E17" s="133">
        <f>SUM(E18:E20)</f>
        <v>0</v>
      </c>
    </row>
    <row r="18" spans="2:6" x14ac:dyDescent="0.25">
      <c r="B18" s="134" t="s">
        <v>104</v>
      </c>
      <c r="C18" s="148">
        <v>1</v>
      </c>
      <c r="D18" s="81">
        <f>'Lic-UiPath'!L11</f>
        <v>0</v>
      </c>
      <c r="E18" s="81">
        <f>C18*D18</f>
        <v>0</v>
      </c>
    </row>
    <row r="19" spans="2:6" x14ac:dyDescent="0.25">
      <c r="B19" s="134" t="s">
        <v>56</v>
      </c>
      <c r="C19" s="148">
        <v>1</v>
      </c>
      <c r="D19" s="81">
        <f>'Lic-Misc'!G5</f>
        <v>0</v>
      </c>
      <c r="E19" s="81">
        <f>'Lic-Misc'!I5</f>
        <v>0</v>
      </c>
    </row>
    <row r="20" spans="2:6" x14ac:dyDescent="0.25">
      <c r="B20" s="134"/>
      <c r="C20" s="148"/>
      <c r="D20" s="81"/>
      <c r="E20" s="81"/>
    </row>
    <row r="21" spans="2:6" x14ac:dyDescent="0.25">
      <c r="B21" s="135"/>
      <c r="C21" s="136"/>
      <c r="D21" s="136"/>
      <c r="E21" s="136"/>
    </row>
    <row r="22" spans="2:6" x14ac:dyDescent="0.25">
      <c r="B22" s="137" t="s">
        <v>4</v>
      </c>
      <c r="C22" s="138"/>
      <c r="D22" s="138"/>
      <c r="E22" s="138">
        <f>SUM(E23:E25)</f>
        <v>0</v>
      </c>
      <c r="F22" s="40">
        <f>E22*1.08</f>
        <v>0</v>
      </c>
    </row>
    <row r="23" spans="2:6" x14ac:dyDescent="0.25">
      <c r="B23" s="139" t="str">
        <f>'Project Cost-01'!C1</f>
        <v>Automation of WTD</v>
      </c>
      <c r="C23" s="136"/>
      <c r="D23" s="136"/>
      <c r="E23" s="136">
        <f>'Project Cost-01'!D$17</f>
        <v>0</v>
      </c>
    </row>
    <row r="24" spans="2:6" x14ac:dyDescent="0.25">
      <c r="B24" s="139" t="s">
        <v>74</v>
      </c>
      <c r="C24" s="136"/>
      <c r="D24" s="136"/>
      <c r="E24" s="136"/>
    </row>
    <row r="25" spans="2:6" x14ac:dyDescent="0.25">
      <c r="B25" s="139"/>
      <c r="C25" s="136"/>
      <c r="D25" s="136"/>
      <c r="E25" s="136"/>
    </row>
    <row r="26" spans="2:6" x14ac:dyDescent="0.25">
      <c r="B26" s="135"/>
      <c r="C26" s="136"/>
      <c r="D26" s="136"/>
      <c r="E26" s="136"/>
    </row>
    <row r="27" spans="2:6" x14ac:dyDescent="0.25">
      <c r="B27" s="140" t="s">
        <v>75</v>
      </c>
      <c r="C27" s="141"/>
      <c r="D27" s="141"/>
      <c r="E27" s="142">
        <f>SUM(E28:E29)</f>
        <v>0</v>
      </c>
    </row>
    <row r="28" spans="2:6" x14ac:dyDescent="0.25">
      <c r="B28" s="139" t="s">
        <v>99</v>
      </c>
      <c r="C28" s="143"/>
      <c r="D28" s="143"/>
      <c r="E28" s="136"/>
    </row>
    <row r="29" spans="2:6" x14ac:dyDescent="0.25">
      <c r="B29" s="139" t="s">
        <v>100</v>
      </c>
      <c r="C29" s="143"/>
      <c r="D29" s="143"/>
      <c r="E29" s="136"/>
    </row>
    <row r="30" spans="2:6" x14ac:dyDescent="0.25">
      <c r="B30" s="144"/>
      <c r="C30" s="143"/>
      <c r="D30" s="143"/>
      <c r="E30" s="136"/>
    </row>
    <row r="31" spans="2:6" x14ac:dyDescent="0.25">
      <c r="B31" s="137" t="s">
        <v>101</v>
      </c>
      <c r="C31" s="138"/>
      <c r="D31" s="138"/>
      <c r="E31" s="142">
        <f>SUM(E32:E33)</f>
        <v>0</v>
      </c>
    </row>
    <row r="32" spans="2:6" x14ac:dyDescent="0.25">
      <c r="B32" s="139" t="s">
        <v>102</v>
      </c>
      <c r="C32" s="143"/>
      <c r="D32" s="143"/>
      <c r="E32" s="136">
        <f>Hardware!I7</f>
        <v>0</v>
      </c>
    </row>
    <row r="33" spans="2:5" x14ac:dyDescent="0.25">
      <c r="B33" s="139" t="s">
        <v>103</v>
      </c>
      <c r="C33" s="143"/>
      <c r="D33" s="143"/>
      <c r="E33" s="136"/>
    </row>
    <row r="34" spans="2:5" x14ac:dyDescent="0.25">
      <c r="B34" s="139"/>
      <c r="C34" s="143"/>
      <c r="D34" s="143"/>
      <c r="E34" s="136"/>
    </row>
    <row r="35" spans="2:5" x14ac:dyDescent="0.25">
      <c r="B35" s="137" t="s">
        <v>7</v>
      </c>
      <c r="C35" s="138"/>
      <c r="D35" s="138"/>
      <c r="E35" s="138">
        <f>SUM(E17,E22,E27)</f>
        <v>0</v>
      </c>
    </row>
    <row r="36" spans="2:5" x14ac:dyDescent="0.25">
      <c r="B36" s="145" t="s">
        <v>105</v>
      </c>
      <c r="C36" s="146"/>
      <c r="D36" s="146"/>
      <c r="E36" s="147">
        <f>E35*0.08</f>
        <v>0</v>
      </c>
    </row>
    <row r="37" spans="2:5" x14ac:dyDescent="0.25">
      <c r="B37" s="137" t="s">
        <v>9</v>
      </c>
      <c r="C37" s="138"/>
      <c r="D37" s="138"/>
      <c r="E37" s="138">
        <f>SUM(E35:E36)</f>
        <v>0</v>
      </c>
    </row>
    <row r="40" spans="2:5" x14ac:dyDescent="0.25">
      <c r="B40" t="s">
        <v>106</v>
      </c>
    </row>
    <row r="41" spans="2:5" x14ac:dyDescent="0.25">
      <c r="B41" t="s">
        <v>107</v>
      </c>
    </row>
    <row r="42" spans="2:5" x14ac:dyDescent="0.25">
      <c r="B42" t="s">
        <v>108</v>
      </c>
    </row>
    <row r="43" spans="2:5" x14ac:dyDescent="0.25">
      <c r="B43" t="s">
        <v>109</v>
      </c>
    </row>
    <row r="44" spans="2:5" x14ac:dyDescent="0.25">
      <c r="B44" t="s"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E3E9-4A91-4B39-9AD7-B31696009118}">
  <sheetPr>
    <tabColor rgb="FF92D050"/>
  </sheetPr>
  <dimension ref="B2:F68"/>
  <sheetViews>
    <sheetView zoomScale="82" zoomScaleNormal="160" workbookViewId="0">
      <selection activeCell="F1" sqref="F1"/>
    </sheetView>
  </sheetViews>
  <sheetFormatPr defaultColWidth="8.09765625" defaultRowHeight="13.8" x14ac:dyDescent="0.25"/>
  <cols>
    <col min="2" max="2" width="28.59765625" customWidth="1"/>
    <col min="3" max="3" width="14.59765625" customWidth="1"/>
    <col min="4" max="4" width="25" bestFit="1" customWidth="1"/>
    <col min="5" max="5" width="4.796875" customWidth="1"/>
    <col min="6" max="6" width="22.296875" customWidth="1"/>
    <col min="7" max="7" width="11" bestFit="1" customWidth="1"/>
    <col min="8" max="8" width="20.59765625" customWidth="1"/>
    <col min="9" max="9" width="10.09765625" bestFit="1" customWidth="1"/>
  </cols>
  <sheetData>
    <row r="2" spans="2:6" x14ac:dyDescent="0.25">
      <c r="B2" s="71" t="s">
        <v>92</v>
      </c>
      <c r="C2" s="6"/>
      <c r="F2" s="14"/>
    </row>
    <row r="3" spans="2:6" x14ac:dyDescent="0.25">
      <c r="B3" s="6"/>
      <c r="C3" s="20" t="s">
        <v>208</v>
      </c>
      <c r="F3" s="14"/>
    </row>
    <row r="4" spans="2:6" x14ac:dyDescent="0.25">
      <c r="B4" s="27" t="s">
        <v>30</v>
      </c>
      <c r="C4" s="25" t="s">
        <v>31</v>
      </c>
      <c r="F4" s="14"/>
    </row>
    <row r="5" spans="2:6" x14ac:dyDescent="0.25">
      <c r="B5" s="8" t="s">
        <v>70</v>
      </c>
      <c r="C5" s="36">
        <f>'Project Cost-01'!D17</f>
        <v>0</v>
      </c>
      <c r="F5" s="14"/>
    </row>
    <row r="6" spans="2:6" x14ac:dyDescent="0.25">
      <c r="B6" s="8" t="s">
        <v>192</v>
      </c>
      <c r="C6" s="36">
        <f>'Lic-UiPath'!L11</f>
        <v>0</v>
      </c>
      <c r="F6" s="14"/>
    </row>
    <row r="7" spans="2:6" x14ac:dyDescent="0.25">
      <c r="B7" s="8" t="s">
        <v>209</v>
      </c>
      <c r="C7" s="36">
        <f>'Lic-Misc'!I11</f>
        <v>0</v>
      </c>
      <c r="F7" s="14"/>
    </row>
    <row r="8" spans="2:6" x14ac:dyDescent="0.25">
      <c r="B8" s="8" t="s">
        <v>210</v>
      </c>
      <c r="C8" s="36">
        <f>'Lic-Cyc'!I11</f>
        <v>0</v>
      </c>
      <c r="F8" s="14"/>
    </row>
    <row r="9" spans="2:6" x14ac:dyDescent="0.25">
      <c r="B9" s="8" t="s">
        <v>193</v>
      </c>
      <c r="C9" s="36">
        <f>ROUND('Lic-Misc'!I11,0)</f>
        <v>0</v>
      </c>
      <c r="F9" s="14"/>
    </row>
    <row r="10" spans="2:6" x14ac:dyDescent="0.25">
      <c r="B10" s="8" t="s">
        <v>32</v>
      </c>
      <c r="C10" s="36">
        <f>Support!H11</f>
        <v>0</v>
      </c>
      <c r="F10" s="14"/>
    </row>
    <row r="11" spans="2:6" x14ac:dyDescent="0.25">
      <c r="B11" s="8" t="s">
        <v>100</v>
      </c>
      <c r="C11" s="36">
        <f>Support!H23</f>
        <v>0</v>
      </c>
      <c r="F11" s="14"/>
    </row>
    <row r="12" spans="2:6" x14ac:dyDescent="0.25">
      <c r="B12" s="8" t="s">
        <v>93</v>
      </c>
      <c r="C12" s="36">
        <f>Hardware!I7</f>
        <v>0</v>
      </c>
      <c r="F12" s="14"/>
    </row>
    <row r="13" spans="2:6" x14ac:dyDescent="0.25">
      <c r="B13" s="8"/>
      <c r="C13" s="36"/>
      <c r="F13" s="14"/>
    </row>
    <row r="14" spans="2:6" x14ac:dyDescent="0.25">
      <c r="B14" s="27" t="s">
        <v>33</v>
      </c>
      <c r="C14" s="26">
        <f>SUM(C5:C10)</f>
        <v>0</v>
      </c>
      <c r="F14" s="14"/>
    </row>
    <row r="15" spans="2:6" x14ac:dyDescent="0.25">
      <c r="B15" s="8" t="s">
        <v>64</v>
      </c>
      <c r="C15" s="36">
        <f>C14*0.08</f>
        <v>0</v>
      </c>
      <c r="F15" s="14"/>
    </row>
    <row r="16" spans="2:6" x14ac:dyDescent="0.25">
      <c r="B16" s="8" t="s">
        <v>34</v>
      </c>
      <c r="C16" s="26">
        <f>SUM(C14:C15)</f>
        <v>0</v>
      </c>
      <c r="E16" s="163"/>
      <c r="F16" s="14"/>
    </row>
    <row r="17" spans="2:6" x14ac:dyDescent="0.25">
      <c r="B17" s="14"/>
      <c r="C17" s="6"/>
      <c r="F17" s="14"/>
    </row>
    <row r="18" spans="2:6" x14ac:dyDescent="0.25">
      <c r="B18" s="27" t="s">
        <v>35</v>
      </c>
      <c r="C18" s="25" t="s">
        <v>31</v>
      </c>
      <c r="F18" s="14"/>
    </row>
    <row r="19" spans="2:6" x14ac:dyDescent="0.25">
      <c r="B19" s="27" t="s">
        <v>36</v>
      </c>
      <c r="C19" s="7"/>
    </row>
    <row r="20" spans="2:6" x14ac:dyDescent="0.25">
      <c r="B20" s="44" t="s">
        <v>60</v>
      </c>
      <c r="C20" s="102"/>
    </row>
    <row r="21" spans="2:6" x14ac:dyDescent="0.25">
      <c r="B21" s="44" t="s">
        <v>71</v>
      </c>
      <c r="C21" s="102"/>
    </row>
    <row r="22" spans="2:6" x14ac:dyDescent="0.25">
      <c r="B22" s="44" t="s">
        <v>65</v>
      </c>
      <c r="C22" s="102"/>
    </row>
    <row r="23" spans="2:6" x14ac:dyDescent="0.25">
      <c r="B23" s="44" t="s">
        <v>38</v>
      </c>
      <c r="C23" s="102"/>
    </row>
    <row r="24" spans="2:6" x14ac:dyDescent="0.25">
      <c r="B24" s="44" t="s">
        <v>22</v>
      </c>
      <c r="C24" s="102"/>
    </row>
    <row r="25" spans="2:6" x14ac:dyDescent="0.25">
      <c r="B25" s="44" t="s">
        <v>21</v>
      </c>
      <c r="C25" s="102"/>
    </row>
    <row r="26" spans="2:6" x14ac:dyDescent="0.25">
      <c r="B26" s="45" t="s">
        <v>213</v>
      </c>
      <c r="C26" s="102">
        <f>'Lic-UiPath'!J11</f>
        <v>0</v>
      </c>
    </row>
    <row r="27" spans="2:6" x14ac:dyDescent="0.25">
      <c r="B27" s="45" t="s">
        <v>214</v>
      </c>
      <c r="C27" s="102">
        <f>'Lic-Misc'!G11</f>
        <v>0</v>
      </c>
    </row>
    <row r="28" spans="2:6" x14ac:dyDescent="0.25">
      <c r="B28" s="45" t="s">
        <v>215</v>
      </c>
      <c r="C28" s="102">
        <f>'Lic-Cyc'!G11</f>
        <v>0</v>
      </c>
    </row>
    <row r="29" spans="2:6" x14ac:dyDescent="0.25">
      <c r="B29" s="8" t="s">
        <v>39</v>
      </c>
      <c r="C29" s="102"/>
    </row>
    <row r="30" spans="2:6" x14ac:dyDescent="0.25">
      <c r="B30" s="170" t="s">
        <v>216</v>
      </c>
      <c r="C30" s="102"/>
    </row>
    <row r="31" spans="2:6" x14ac:dyDescent="0.25">
      <c r="B31" s="46" t="s">
        <v>37</v>
      </c>
      <c r="C31" s="102"/>
    </row>
    <row r="32" spans="2:6" x14ac:dyDescent="0.25">
      <c r="B32" s="46" t="s">
        <v>76</v>
      </c>
      <c r="C32" s="102"/>
    </row>
    <row r="33" spans="2:4" x14ac:dyDescent="0.25">
      <c r="B33" s="8" t="s">
        <v>40</v>
      </c>
      <c r="C33" s="102"/>
    </row>
    <row r="34" spans="2:4" x14ac:dyDescent="0.25">
      <c r="B34" s="27" t="s">
        <v>41</v>
      </c>
      <c r="C34" s="102"/>
    </row>
    <row r="35" spans="2:4" x14ac:dyDescent="0.25">
      <c r="B35" s="48"/>
      <c r="C35" s="49"/>
    </row>
    <row r="36" spans="2:4" x14ac:dyDescent="0.25">
      <c r="B36" s="8" t="s">
        <v>42</v>
      </c>
      <c r="C36" s="26">
        <f>C14-C34</f>
        <v>0</v>
      </c>
    </row>
    <row r="37" spans="2:4" x14ac:dyDescent="0.25">
      <c r="B37" s="8" t="s">
        <v>43</v>
      </c>
      <c r="C37" s="50" t="e">
        <f>C36/C14</f>
        <v>#DIV/0!</v>
      </c>
    </row>
    <row r="38" spans="2:4" x14ac:dyDescent="0.25">
      <c r="B38" s="8" t="s">
        <v>150</v>
      </c>
      <c r="C38" s="43">
        <f>C36*10%</f>
        <v>0</v>
      </c>
    </row>
    <row r="41" spans="2:4" x14ac:dyDescent="0.25">
      <c r="B41" s="51"/>
      <c r="C41" s="51"/>
      <c r="D41" s="51"/>
    </row>
    <row r="42" spans="2:4" x14ac:dyDescent="0.25">
      <c r="C42" s="51"/>
    </row>
    <row r="43" spans="2:4" x14ac:dyDescent="0.25">
      <c r="C43" s="51"/>
    </row>
    <row r="44" spans="2:4" x14ac:dyDescent="0.25">
      <c r="C44" s="51"/>
    </row>
    <row r="45" spans="2:4" x14ac:dyDescent="0.25">
      <c r="C45" s="51"/>
    </row>
    <row r="49" spans="2:4" x14ac:dyDescent="0.25">
      <c r="B49" s="14"/>
      <c r="C49" s="6"/>
    </row>
    <row r="50" spans="2:4" x14ac:dyDescent="0.25">
      <c r="B50" s="6"/>
      <c r="C50" s="6"/>
    </row>
    <row r="51" spans="2:4" x14ac:dyDescent="0.25">
      <c r="B51" s="42"/>
      <c r="C51" s="34"/>
    </row>
    <row r="52" spans="2:4" x14ac:dyDescent="0.25">
      <c r="B52" s="6"/>
      <c r="C52" s="52"/>
    </row>
    <row r="53" spans="2:4" x14ac:dyDescent="0.25">
      <c r="B53" s="6"/>
      <c r="C53" s="52"/>
    </row>
    <row r="54" spans="2:4" x14ac:dyDescent="0.25">
      <c r="B54" s="6"/>
      <c r="C54" s="52"/>
    </row>
    <row r="55" spans="2:4" x14ac:dyDescent="0.25">
      <c r="B55" s="48"/>
      <c r="C55" s="49"/>
      <c r="D55" s="47"/>
    </row>
    <row r="56" spans="2:4" x14ac:dyDescent="0.25">
      <c r="B56" s="6"/>
      <c r="C56" s="35"/>
    </row>
    <row r="57" spans="2:4" x14ac:dyDescent="0.25">
      <c r="B57" s="6"/>
      <c r="C57" s="53"/>
    </row>
    <row r="60" spans="2:4" x14ac:dyDescent="0.25">
      <c r="B60" s="14"/>
      <c r="C60" s="6"/>
    </row>
    <row r="61" spans="2:4" x14ac:dyDescent="0.25">
      <c r="B61" s="6"/>
      <c r="C61" s="6"/>
    </row>
    <row r="62" spans="2:4" x14ac:dyDescent="0.25">
      <c r="B62" s="42"/>
      <c r="C62" s="34"/>
    </row>
    <row r="63" spans="2:4" x14ac:dyDescent="0.25">
      <c r="B63" s="6"/>
      <c r="C63" s="52"/>
    </row>
    <row r="64" spans="2:4" x14ac:dyDescent="0.25">
      <c r="B64" s="6"/>
      <c r="C64" s="52"/>
    </row>
    <row r="65" spans="2:5" x14ac:dyDescent="0.25">
      <c r="B65" s="6"/>
      <c r="C65" s="52"/>
    </row>
    <row r="66" spans="2:5" x14ac:dyDescent="0.25">
      <c r="B66" s="48"/>
      <c r="C66" s="49"/>
      <c r="D66" s="47"/>
    </row>
    <row r="67" spans="2:5" x14ac:dyDescent="0.25">
      <c r="B67" s="6"/>
      <c r="C67" s="35"/>
    </row>
    <row r="68" spans="2:5" x14ac:dyDescent="0.25">
      <c r="B68" s="6"/>
      <c r="C68" s="53"/>
      <c r="E68" s="40"/>
    </row>
  </sheetData>
  <phoneticPr fontId="11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2106-C9D9-4739-84DD-644811E84FF2}">
  <sheetPr>
    <tabColor rgb="FFFFFF00"/>
  </sheetPr>
  <dimension ref="B2:I27"/>
  <sheetViews>
    <sheetView zoomScale="82" zoomScaleNormal="160" workbookViewId="0">
      <selection activeCell="B25" sqref="B25"/>
    </sheetView>
  </sheetViews>
  <sheetFormatPr defaultColWidth="8.09765625" defaultRowHeight="13.8" x14ac:dyDescent="0.25"/>
  <cols>
    <col min="1" max="1" width="3.5" customWidth="1"/>
    <col min="2" max="2" width="18.09765625" bestFit="1" customWidth="1"/>
    <col min="3" max="3" width="28.09765625" bestFit="1" customWidth="1"/>
    <col min="4" max="4" width="47.19921875" bestFit="1" customWidth="1"/>
    <col min="5" max="5" width="16" customWidth="1"/>
    <col min="6" max="6" width="17.296875" bestFit="1" customWidth="1"/>
    <col min="7" max="8" width="40.69921875" bestFit="1" customWidth="1"/>
    <col min="9" max="9" width="18.09765625" bestFit="1" customWidth="1"/>
    <col min="10" max="10" width="11" bestFit="1" customWidth="1"/>
    <col min="11" max="11" width="9.09765625" bestFit="1" customWidth="1"/>
    <col min="12" max="12" width="10.09765625" bestFit="1" customWidth="1"/>
  </cols>
  <sheetData>
    <row r="2" spans="2:9" x14ac:dyDescent="0.25">
      <c r="B2" s="71" t="s">
        <v>180</v>
      </c>
      <c r="C2" s="6"/>
      <c r="I2" s="14"/>
    </row>
    <row r="3" spans="2:9" x14ac:dyDescent="0.25">
      <c r="B3" s="6"/>
      <c r="C3" s="6"/>
    </row>
    <row r="4" spans="2:9" x14ac:dyDescent="0.25">
      <c r="B4" s="82" t="s">
        <v>80</v>
      </c>
      <c r="C4" s="83" t="s">
        <v>79</v>
      </c>
      <c r="D4" s="82" t="s">
        <v>78</v>
      </c>
    </row>
    <row r="5" spans="2:9" x14ac:dyDescent="0.25">
      <c r="B5" s="73" t="s">
        <v>77</v>
      </c>
      <c r="C5" s="117" t="s">
        <v>83</v>
      </c>
      <c r="D5" s="69" t="s">
        <v>191</v>
      </c>
    </row>
    <row r="6" spans="2:9" x14ac:dyDescent="0.25">
      <c r="B6" s="73" t="s">
        <v>81</v>
      </c>
      <c r="C6" s="87" t="s">
        <v>85</v>
      </c>
      <c r="D6" s="69" t="s">
        <v>84</v>
      </c>
    </row>
    <row r="7" spans="2:9" x14ac:dyDescent="0.25">
      <c r="B7" s="73" t="s">
        <v>181</v>
      </c>
      <c r="C7" s="87" t="s">
        <v>88</v>
      </c>
      <c r="D7" s="69" t="s">
        <v>190</v>
      </c>
    </row>
    <row r="8" spans="2:9" x14ac:dyDescent="0.25">
      <c r="B8" s="73" t="s">
        <v>182</v>
      </c>
      <c r="C8" s="87" t="s">
        <v>186</v>
      </c>
      <c r="D8" s="69" t="s">
        <v>190</v>
      </c>
    </row>
    <row r="9" spans="2:9" x14ac:dyDescent="0.25">
      <c r="B9" s="73" t="s">
        <v>183</v>
      </c>
      <c r="C9" s="87" t="s">
        <v>187</v>
      </c>
      <c r="D9" s="69" t="s">
        <v>190</v>
      </c>
    </row>
    <row r="10" spans="2:9" x14ac:dyDescent="0.25">
      <c r="B10" s="73" t="s">
        <v>184</v>
      </c>
      <c r="C10" s="87" t="s">
        <v>188</v>
      </c>
      <c r="D10" s="69" t="s">
        <v>190</v>
      </c>
    </row>
    <row r="11" spans="2:9" x14ac:dyDescent="0.25">
      <c r="B11" s="73" t="s">
        <v>185</v>
      </c>
      <c r="C11" s="87" t="s">
        <v>189</v>
      </c>
      <c r="D11" s="69" t="s">
        <v>190</v>
      </c>
    </row>
    <row r="12" spans="2:9" x14ac:dyDescent="0.25">
      <c r="B12" s="6"/>
      <c r="C12" s="52"/>
    </row>
    <row r="13" spans="2:9" x14ac:dyDescent="0.25">
      <c r="B13" s="84" t="s">
        <v>80</v>
      </c>
      <c r="C13" s="84" t="s">
        <v>95</v>
      </c>
      <c r="D13" s="47"/>
      <c r="E13" s="47"/>
      <c r="F13" s="47"/>
      <c r="G13" s="47"/>
    </row>
    <row r="14" spans="2:9" x14ac:dyDescent="0.25">
      <c r="B14" s="72" t="s">
        <v>67</v>
      </c>
      <c r="C14" s="72">
        <f>'Project Cost-01'!R11</f>
        <v>0</v>
      </c>
    </row>
    <row r="15" spans="2:9" x14ac:dyDescent="0.25">
      <c r="B15" s="72" t="s">
        <v>195</v>
      </c>
      <c r="C15" s="72">
        <f>'Project Cost-01'!R9</f>
        <v>0</v>
      </c>
    </row>
    <row r="16" spans="2:9" x14ac:dyDescent="0.25">
      <c r="B16" s="72" t="s">
        <v>196</v>
      </c>
      <c r="C16" s="72">
        <f>'Project Cost-01'!R10</f>
        <v>0</v>
      </c>
    </row>
    <row r="17" spans="2:8" x14ac:dyDescent="0.25">
      <c r="B17" s="72" t="s">
        <v>65</v>
      </c>
      <c r="C17" s="72">
        <f>'Project Cost-01'!R8</f>
        <v>0</v>
      </c>
    </row>
    <row r="18" spans="2:8" x14ac:dyDescent="0.25">
      <c r="B18" s="72" t="s">
        <v>38</v>
      </c>
      <c r="C18" s="72">
        <f>'Project Cost-01'!R6</f>
        <v>0</v>
      </c>
    </row>
    <row r="19" spans="2:8" x14ac:dyDescent="0.25">
      <c r="B19" s="72" t="s">
        <v>22</v>
      </c>
      <c r="C19" s="72">
        <f>'Project Cost-01'!R7</f>
        <v>0</v>
      </c>
    </row>
    <row r="20" spans="2:8" x14ac:dyDescent="0.25">
      <c r="B20" s="72" t="s">
        <v>21</v>
      </c>
      <c r="C20" s="72">
        <f>'Project Cost-01'!R5</f>
        <v>0</v>
      </c>
    </row>
    <row r="21" spans="2:8" x14ac:dyDescent="0.25">
      <c r="B21" s="72" t="s">
        <v>39</v>
      </c>
      <c r="C21" s="72">
        <f>Support!G11</f>
        <v>72</v>
      </c>
    </row>
    <row r="22" spans="2:8" x14ac:dyDescent="0.25">
      <c r="B22" s="6"/>
      <c r="C22" s="52"/>
    </row>
    <row r="23" spans="2:8" x14ac:dyDescent="0.25">
      <c r="B23" s="6"/>
      <c r="C23" s="52"/>
    </row>
    <row r="24" spans="2:8" x14ac:dyDescent="0.25">
      <c r="B24" s="6"/>
      <c r="C24" s="52"/>
    </row>
    <row r="25" spans="2:8" x14ac:dyDescent="0.25">
      <c r="B25" s="48"/>
      <c r="C25" s="49"/>
      <c r="D25" s="47"/>
      <c r="E25" s="47"/>
      <c r="F25" s="47"/>
      <c r="G25" s="47"/>
    </row>
    <row r="26" spans="2:8" x14ac:dyDescent="0.25">
      <c r="B26" s="6"/>
      <c r="C26" s="35"/>
    </row>
    <row r="27" spans="2:8" x14ac:dyDescent="0.25">
      <c r="B27" s="6"/>
      <c r="C27" s="53"/>
      <c r="H27" s="40"/>
    </row>
  </sheetData>
  <phoneticPr fontId="1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05FB-8A0F-4CE7-8993-680F256B531C}">
  <sheetPr>
    <tabColor rgb="FFFFFF00"/>
  </sheetPr>
  <dimension ref="B1:W22"/>
  <sheetViews>
    <sheetView zoomScale="76" zoomScaleNormal="76" workbookViewId="0">
      <selection activeCell="C7" sqref="C7"/>
    </sheetView>
  </sheetViews>
  <sheetFormatPr defaultRowHeight="14.25" customHeight="1" x14ac:dyDescent="0.25"/>
  <cols>
    <col min="1" max="1" width="2" customWidth="1"/>
    <col min="2" max="2" width="33.296875" bestFit="1" customWidth="1"/>
    <col min="3" max="3" width="19.296875" bestFit="1" customWidth="1"/>
    <col min="4" max="4" width="11.09765625" bestFit="1" customWidth="1"/>
    <col min="5" max="5" width="10.19921875" customWidth="1"/>
    <col min="6" max="6" width="11.09765625" customWidth="1"/>
    <col min="7" max="7" width="11.19921875" bestFit="1" customWidth="1"/>
    <col min="8" max="8" width="4.796875" customWidth="1"/>
    <col min="9" max="10" width="5.796875" bestFit="1" customWidth="1"/>
    <col min="11" max="12" width="5.796875" customWidth="1"/>
    <col min="13" max="14" width="5.796875" bestFit="1" customWidth="1"/>
    <col min="15" max="15" width="6.296875" bestFit="1" customWidth="1"/>
    <col min="16" max="16" width="6.59765625" bestFit="1" customWidth="1"/>
    <col min="17" max="17" width="6.59765625" customWidth="1"/>
    <col min="18" max="18" width="10.5" customWidth="1"/>
    <col min="19" max="19" width="12.09765625" customWidth="1"/>
    <col min="21" max="21" width="14.59765625" customWidth="1"/>
    <col min="22" max="22" width="3.5" customWidth="1"/>
  </cols>
  <sheetData>
    <row r="1" spans="2:23" ht="13.8" x14ac:dyDescent="0.25">
      <c r="B1" s="11" t="s">
        <v>157</v>
      </c>
      <c r="C1" s="125" t="str">
        <f>'Project Details'!C7</f>
        <v>Automation of WTD</v>
      </c>
    </row>
    <row r="2" spans="2:23" ht="13.8" x14ac:dyDescent="0.25">
      <c r="B2" s="4"/>
    </row>
    <row r="4" spans="2:23" s="10" customFormat="1" ht="48.6" customHeight="1" x14ac:dyDescent="0.25">
      <c r="B4" s="9" t="s">
        <v>16</v>
      </c>
      <c r="C4" s="9" t="s">
        <v>10</v>
      </c>
      <c r="D4" s="9" t="s">
        <v>11</v>
      </c>
      <c r="E4" s="9" t="s">
        <v>153</v>
      </c>
      <c r="F4" s="9" t="s">
        <v>154</v>
      </c>
      <c r="G4" s="9" t="s">
        <v>130</v>
      </c>
      <c r="H4" s="9" t="s">
        <v>131</v>
      </c>
      <c r="I4" s="9" t="s">
        <v>132</v>
      </c>
      <c r="J4" s="9" t="s">
        <v>133</v>
      </c>
      <c r="K4" s="9" t="s">
        <v>134</v>
      </c>
      <c r="L4" s="9" t="s">
        <v>135</v>
      </c>
      <c r="M4" s="9" t="s">
        <v>136</v>
      </c>
      <c r="N4" s="9" t="s">
        <v>137</v>
      </c>
      <c r="O4" s="9" t="s">
        <v>136</v>
      </c>
      <c r="P4" s="9" t="s">
        <v>137</v>
      </c>
      <c r="Q4" s="9" t="s">
        <v>198</v>
      </c>
      <c r="R4" s="9" t="s">
        <v>17</v>
      </c>
      <c r="S4" s="9" t="s">
        <v>18</v>
      </c>
      <c r="T4" s="9" t="s">
        <v>19</v>
      </c>
      <c r="U4" s="9" t="s">
        <v>20</v>
      </c>
    </row>
    <row r="5" spans="2:23" ht="13.8" x14ac:dyDescent="0.25">
      <c r="B5" s="8" t="s">
        <v>21</v>
      </c>
      <c r="C5" s="8" t="s">
        <v>12</v>
      </c>
      <c r="D5" s="32">
        <f>'Master File'!C8</f>
        <v>2500</v>
      </c>
      <c r="E5" s="103"/>
      <c r="F5" s="32">
        <f>D5-E5</f>
        <v>2500</v>
      </c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>
        <f>SUM(G5:P5)</f>
        <v>0</v>
      </c>
      <c r="S5" s="33">
        <f t="shared" ref="S5:S11" si="0">F5*R5</f>
        <v>0</v>
      </c>
      <c r="T5" s="104">
        <v>0</v>
      </c>
      <c r="U5" s="33">
        <f>S5*(1-T5)</f>
        <v>0</v>
      </c>
    </row>
    <row r="6" spans="2:23" ht="13.8" x14ac:dyDescent="0.25">
      <c r="B6" s="8" t="s">
        <v>73</v>
      </c>
      <c r="C6" s="8" t="s">
        <v>13</v>
      </c>
      <c r="D6" s="32">
        <f>'Master File'!C9</f>
        <v>2000</v>
      </c>
      <c r="E6" s="103"/>
      <c r="F6" s="32">
        <f t="shared" ref="F6:F11" si="1">D6-E6</f>
        <v>2000</v>
      </c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50"/>
      <c r="R6" s="150">
        <f>SUM(G6:P6)</f>
        <v>0</v>
      </c>
      <c r="S6" s="33">
        <f t="shared" si="0"/>
        <v>0</v>
      </c>
      <c r="T6" s="104">
        <v>0</v>
      </c>
      <c r="U6" s="33">
        <f t="shared" ref="U6:U9" si="2">S6*(1-T6)</f>
        <v>0</v>
      </c>
    </row>
    <row r="7" spans="2:23" ht="13.8" x14ac:dyDescent="0.25">
      <c r="B7" s="8" t="s">
        <v>22</v>
      </c>
      <c r="C7" s="8" t="s">
        <v>13</v>
      </c>
      <c r="D7" s="32">
        <f>'Master File'!C11</f>
        <v>1800</v>
      </c>
      <c r="E7" s="103"/>
      <c r="F7" s="32">
        <f t="shared" si="1"/>
        <v>1800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>
        <f>SUM(G7:Q7)</f>
        <v>0</v>
      </c>
      <c r="S7" s="33">
        <f t="shared" si="0"/>
        <v>0</v>
      </c>
      <c r="T7" s="104">
        <v>0</v>
      </c>
      <c r="U7" s="33">
        <f t="shared" si="2"/>
        <v>0</v>
      </c>
    </row>
    <row r="8" spans="2:23" ht="13.8" x14ac:dyDescent="0.25">
      <c r="B8" s="8" t="s">
        <v>65</v>
      </c>
      <c r="C8" s="8" t="s">
        <v>15</v>
      </c>
      <c r="D8" s="32">
        <f>'Master File'!C12</f>
        <v>1500</v>
      </c>
      <c r="E8" s="103"/>
      <c r="F8" s="32">
        <f t="shared" si="1"/>
        <v>1500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>
        <f>SUM(G8:P8)</f>
        <v>0</v>
      </c>
      <c r="S8" s="33">
        <f t="shared" si="0"/>
        <v>0</v>
      </c>
      <c r="T8" s="104">
        <v>0</v>
      </c>
      <c r="U8" s="33">
        <f t="shared" si="2"/>
        <v>0</v>
      </c>
    </row>
    <row r="9" spans="2:23" ht="13.8" x14ac:dyDescent="0.25">
      <c r="B9" s="8" t="s">
        <v>195</v>
      </c>
      <c r="C9" s="8" t="s">
        <v>15</v>
      </c>
      <c r="D9" s="32">
        <f>'Master File'!C13</f>
        <v>1500</v>
      </c>
      <c r="E9" s="103"/>
      <c r="F9" s="32">
        <f t="shared" si="1"/>
        <v>1500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>
        <f>SUM(G9:Q9)</f>
        <v>0</v>
      </c>
      <c r="S9" s="33">
        <f t="shared" si="0"/>
        <v>0</v>
      </c>
      <c r="T9" s="104">
        <v>0</v>
      </c>
      <c r="U9" s="33">
        <f t="shared" si="2"/>
        <v>0</v>
      </c>
    </row>
    <row r="10" spans="2:23" ht="13.8" x14ac:dyDescent="0.25">
      <c r="B10" s="8" t="s">
        <v>196</v>
      </c>
      <c r="C10" s="8" t="s">
        <v>15</v>
      </c>
      <c r="D10" s="32">
        <f>'Master File'!C13</f>
        <v>1500</v>
      </c>
      <c r="E10" s="103"/>
      <c r="F10" s="32">
        <f t="shared" ref="F10" si="3">D10-E10</f>
        <v>1500</v>
      </c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>
        <f>SUM(G10:Q10)</f>
        <v>0</v>
      </c>
      <c r="S10" s="33">
        <f t="shared" si="0"/>
        <v>0</v>
      </c>
      <c r="T10" s="104">
        <v>0</v>
      </c>
      <c r="U10" s="33">
        <f t="shared" ref="U10:U11" si="4">S10*(1-T10)</f>
        <v>0</v>
      </c>
    </row>
    <row r="11" spans="2:23" ht="13.8" x14ac:dyDescent="0.25">
      <c r="B11" s="8" t="s">
        <v>67</v>
      </c>
      <c r="C11" s="8" t="s">
        <v>15</v>
      </c>
      <c r="D11" s="32">
        <f>'Master File'!C10</f>
        <v>1800</v>
      </c>
      <c r="E11" s="103"/>
      <c r="F11" s="32">
        <f t="shared" si="1"/>
        <v>1800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>
        <f>SUM(G11:P11)</f>
        <v>0</v>
      </c>
      <c r="S11" s="33">
        <f t="shared" si="0"/>
        <v>0</v>
      </c>
      <c r="T11" s="104">
        <v>0</v>
      </c>
      <c r="U11" s="33">
        <f t="shared" si="4"/>
        <v>0</v>
      </c>
    </row>
    <row r="12" spans="2:23" ht="13.8" x14ac:dyDescent="0.25">
      <c r="B12" s="6"/>
      <c r="C12" s="6"/>
      <c r="D12" s="118"/>
      <c r="E12" s="118"/>
      <c r="F12" s="118"/>
      <c r="G12" s="119"/>
      <c r="H12" s="119"/>
      <c r="I12" s="120"/>
      <c r="J12" s="120"/>
      <c r="K12" s="120"/>
      <c r="L12" s="120"/>
      <c r="M12" s="120"/>
      <c r="N12" s="120"/>
      <c r="O12" s="119"/>
      <c r="P12" s="121"/>
      <c r="Q12" s="121"/>
      <c r="R12" s="122"/>
      <c r="S12" s="123"/>
      <c r="T12" s="124"/>
      <c r="U12" s="123"/>
    </row>
    <row r="13" spans="2:23" s="11" customFormat="1" ht="67.349999999999994" customHeight="1" x14ac:dyDescent="0.25">
      <c r="G13" s="67" t="s">
        <v>23</v>
      </c>
      <c r="H13" s="173" t="s">
        <v>24</v>
      </c>
      <c r="I13" s="174"/>
      <c r="J13" s="174"/>
      <c r="K13" s="174"/>
      <c r="L13" s="174"/>
      <c r="M13" s="174"/>
      <c r="N13" s="174"/>
      <c r="O13" s="171" t="s">
        <v>25</v>
      </c>
      <c r="P13" s="172"/>
      <c r="Q13" s="151" t="s">
        <v>199</v>
      </c>
      <c r="R13" s="18">
        <f t="shared" ref="R13:S13" si="5">SUM(R5:R11)</f>
        <v>0</v>
      </c>
      <c r="S13" s="18">
        <f t="shared" si="5"/>
        <v>0</v>
      </c>
      <c r="T13" s="18"/>
      <c r="U13" s="18">
        <f>SUM(U5:U11)</f>
        <v>0</v>
      </c>
      <c r="W13"/>
    </row>
    <row r="15" spans="2:23" ht="13.8" x14ac:dyDescent="0.25">
      <c r="B15" t="s">
        <v>26</v>
      </c>
      <c r="D15" s="5">
        <f>U13</f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2:23" ht="13.8" x14ac:dyDescent="0.25">
      <c r="B16" t="s">
        <v>27</v>
      </c>
      <c r="D16" s="5"/>
      <c r="E16" s="100" t="s">
        <v>138</v>
      </c>
      <c r="F16" s="5"/>
      <c r="H16" s="5"/>
      <c r="I16" s="5"/>
      <c r="J16" s="5"/>
      <c r="K16" s="5"/>
      <c r="L16" s="5"/>
      <c r="M16" s="5"/>
      <c r="N16" s="5"/>
    </row>
    <row r="17" spans="2:14" s="11" customFormat="1" ht="14.4" thickBot="1" x14ac:dyDescent="0.3">
      <c r="B17" s="11" t="s">
        <v>28</v>
      </c>
      <c r="D17" s="17">
        <f>D15+D16</f>
        <v>0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</row>
    <row r="18" spans="2:14" ht="14.4" thickTop="1" x14ac:dyDescent="0.25"/>
    <row r="19" spans="2:14" ht="14.4" x14ac:dyDescent="0.3">
      <c r="B19" s="15" t="s">
        <v>29</v>
      </c>
      <c r="C19" s="15"/>
      <c r="D19" s="16" t="e">
        <f>U13/R13</f>
        <v>#DIV/0!</v>
      </c>
      <c r="E19" s="16"/>
      <c r="F19" s="16"/>
      <c r="G19" s="16"/>
      <c r="I19" s="16"/>
      <c r="J19" s="16"/>
      <c r="K19" s="16"/>
      <c r="L19" s="16"/>
      <c r="M19" s="16"/>
      <c r="N19" s="16"/>
    </row>
    <row r="22" spans="2:14" ht="14.25" customHeight="1" x14ac:dyDescent="0.25">
      <c r="G22" s="40"/>
    </row>
  </sheetData>
  <mergeCells count="2">
    <mergeCell ref="O13:P13"/>
    <mergeCell ref="H13:N13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16BB-C1BE-46A8-B04B-2EDEDD0AF561}">
  <sheetPr>
    <tabColor rgb="FFFFFF00"/>
  </sheetPr>
  <dimension ref="B1:O14"/>
  <sheetViews>
    <sheetView tabSelected="1" zoomScale="85" zoomScaleNormal="85" zoomScaleSheetLayoutView="64" workbookViewId="0">
      <selection activeCell="E3" sqref="E3"/>
    </sheetView>
  </sheetViews>
  <sheetFormatPr defaultColWidth="9.09765625" defaultRowHeight="13.2" x14ac:dyDescent="0.25"/>
  <cols>
    <col min="1" max="1" width="3.296875" style="6" customWidth="1"/>
    <col min="2" max="2" width="4.296875" style="20" customWidth="1"/>
    <col min="3" max="3" width="40.296875" style="6" bestFit="1" customWidth="1"/>
    <col min="4" max="4" width="10.796875" style="6" customWidth="1"/>
    <col min="5" max="5" width="4.69921875" style="6" bestFit="1" customWidth="1"/>
    <col min="6" max="6" width="12.09765625" style="6" customWidth="1"/>
    <col min="7" max="7" width="12.59765625" style="6" bestFit="1" customWidth="1"/>
    <col min="8" max="8" width="9.59765625" style="6" bestFit="1" customWidth="1"/>
    <col min="9" max="9" width="10.796875" style="6" bestFit="1" customWidth="1"/>
    <col min="10" max="10" width="12.59765625" style="6" bestFit="1" customWidth="1"/>
    <col min="11" max="11" width="10.09765625" style="6" customWidth="1"/>
    <col min="12" max="13" width="12.09765625" style="6" bestFit="1" customWidth="1"/>
    <col min="14" max="14" width="11.5" style="6" customWidth="1"/>
    <col min="15" max="15" width="10.796875" style="6" customWidth="1"/>
    <col min="16" max="16384" width="9.09765625" style="6"/>
  </cols>
  <sheetData>
    <row r="1" spans="2:15" ht="17.399999999999999" x14ac:dyDescent="0.3">
      <c r="C1" s="85" t="s">
        <v>165</v>
      </c>
    </row>
    <row r="2" spans="2:15" s="21" customFormat="1" ht="56.1" customHeight="1" x14ac:dyDescent="0.25">
      <c r="B2" s="22" t="s">
        <v>48</v>
      </c>
      <c r="C2" s="23" t="s">
        <v>49</v>
      </c>
      <c r="D2" s="22" t="s">
        <v>112</v>
      </c>
      <c r="E2" s="22" t="s">
        <v>113</v>
      </c>
      <c r="F2" s="22" t="s">
        <v>114</v>
      </c>
      <c r="G2" s="22" t="s">
        <v>115</v>
      </c>
      <c r="H2" s="22" t="s">
        <v>116</v>
      </c>
      <c r="I2" s="22" t="s">
        <v>164</v>
      </c>
      <c r="J2" s="22" t="s">
        <v>117</v>
      </c>
      <c r="K2" s="22" t="s">
        <v>118</v>
      </c>
      <c r="L2" s="22" t="s">
        <v>53</v>
      </c>
      <c r="M2" s="22" t="s">
        <v>128</v>
      </c>
      <c r="N2" s="22" t="s">
        <v>54</v>
      </c>
      <c r="O2" s="22" t="s">
        <v>55</v>
      </c>
    </row>
    <row r="3" spans="2:15" s="93" customFormat="1" ht="14.4" x14ac:dyDescent="0.25">
      <c r="B3" s="68">
        <v>1</v>
      </c>
      <c r="C3" s="86" t="s">
        <v>119</v>
      </c>
      <c r="D3" s="107">
        <v>4400</v>
      </c>
      <c r="E3" s="88"/>
      <c r="F3" s="75">
        <f>D3*E3</f>
        <v>0</v>
      </c>
      <c r="G3" s="75">
        <f t="shared" ref="G3:G9" si="0">F3*$D$13</f>
        <v>0</v>
      </c>
      <c r="H3" s="106">
        <v>0.2</v>
      </c>
      <c r="I3" s="75">
        <f>F3*(1-H3)</f>
        <v>0</v>
      </c>
      <c r="J3" s="75">
        <f>G3*(1-H3)</f>
        <v>0</v>
      </c>
      <c r="K3" s="90">
        <v>7.4999999999999997E-2</v>
      </c>
      <c r="L3" s="91">
        <f t="shared" ref="L3:L9" si="1">G3*(1-K3)</f>
        <v>0</v>
      </c>
      <c r="M3" s="91">
        <f t="shared" ref="M3" si="2">L3*1.08</f>
        <v>0</v>
      </c>
      <c r="N3" s="91">
        <f t="shared" ref="N3" si="3">L3-J3</f>
        <v>0</v>
      </c>
      <c r="O3" s="92" t="e">
        <f>N3/L3</f>
        <v>#DIV/0!</v>
      </c>
    </row>
    <row r="4" spans="2:15" s="93" customFormat="1" x14ac:dyDescent="0.25">
      <c r="B4" s="68">
        <v>3</v>
      </c>
      <c r="C4" s="93" t="s">
        <v>160</v>
      </c>
      <c r="D4" s="107">
        <v>10000</v>
      </c>
      <c r="E4" s="88"/>
      <c r="F4" s="75">
        <f t="shared" ref="F4:F9" si="4">D4*E4</f>
        <v>0</v>
      </c>
      <c r="G4" s="75">
        <f t="shared" si="0"/>
        <v>0</v>
      </c>
      <c r="H4" s="106">
        <v>0.2</v>
      </c>
      <c r="I4" s="75">
        <f t="shared" ref="I4" si="5">F4*(1-H4)</f>
        <v>0</v>
      </c>
      <c r="J4" s="75">
        <f t="shared" ref="J4" si="6">G4*(1-H4)</f>
        <v>0</v>
      </c>
      <c r="K4" s="90">
        <v>7.4999999999999997E-2</v>
      </c>
      <c r="L4" s="91">
        <f t="shared" si="1"/>
        <v>0</v>
      </c>
      <c r="M4" s="91">
        <f t="shared" ref="M4:M9" si="7">L4*1.08</f>
        <v>0</v>
      </c>
      <c r="N4" s="91">
        <f t="shared" ref="N4:N9" si="8">L4-J4</f>
        <v>0</v>
      </c>
      <c r="O4" s="92" t="e">
        <f t="shared" ref="O4:O9" si="9">N4/L4</f>
        <v>#DIV/0!</v>
      </c>
    </row>
    <row r="5" spans="2:15" s="93" customFormat="1" ht="14.4" x14ac:dyDescent="0.25">
      <c r="B5" s="68">
        <v>4</v>
      </c>
      <c r="C5" s="86" t="s">
        <v>161</v>
      </c>
      <c r="D5" s="107">
        <v>2000</v>
      </c>
      <c r="E5" s="88"/>
      <c r="F5" s="75">
        <f t="shared" si="4"/>
        <v>0</v>
      </c>
      <c r="G5" s="75">
        <f t="shared" si="0"/>
        <v>0</v>
      </c>
      <c r="H5" s="106">
        <v>0.2</v>
      </c>
      <c r="I5" s="75">
        <f t="shared" ref="I5:I9" si="10">F5*(1-H5)</f>
        <v>0</v>
      </c>
      <c r="J5" s="75">
        <f t="shared" ref="J5:J9" si="11">G5*(1-H5)</f>
        <v>0</v>
      </c>
      <c r="K5" s="90">
        <v>0.05</v>
      </c>
      <c r="L5" s="91">
        <f t="shared" si="1"/>
        <v>0</v>
      </c>
      <c r="M5" s="91">
        <f t="shared" si="7"/>
        <v>0</v>
      </c>
      <c r="N5" s="91">
        <f t="shared" si="8"/>
        <v>0</v>
      </c>
      <c r="O5" s="92" t="e">
        <f t="shared" si="9"/>
        <v>#DIV/0!</v>
      </c>
    </row>
    <row r="6" spans="2:15" s="93" customFormat="1" ht="14.4" x14ac:dyDescent="0.25">
      <c r="B6" s="68">
        <v>5</v>
      </c>
      <c r="C6" s="86" t="s">
        <v>162</v>
      </c>
      <c r="D6" s="107">
        <v>15000</v>
      </c>
      <c r="E6" s="88"/>
      <c r="F6" s="75">
        <f t="shared" si="4"/>
        <v>0</v>
      </c>
      <c r="G6" s="75">
        <f t="shared" si="0"/>
        <v>0</v>
      </c>
      <c r="H6" s="106">
        <v>0.2</v>
      </c>
      <c r="I6" s="75">
        <f t="shared" si="10"/>
        <v>0</v>
      </c>
      <c r="J6" s="75">
        <f t="shared" si="11"/>
        <v>0</v>
      </c>
      <c r="K6" s="90">
        <v>0.05</v>
      </c>
      <c r="L6" s="91">
        <f t="shared" si="1"/>
        <v>0</v>
      </c>
      <c r="M6" s="91">
        <f t="shared" si="7"/>
        <v>0</v>
      </c>
      <c r="N6" s="91">
        <f t="shared" si="8"/>
        <v>0</v>
      </c>
      <c r="O6" s="92" t="e">
        <f t="shared" si="9"/>
        <v>#DIV/0!</v>
      </c>
    </row>
    <row r="7" spans="2:15" s="93" customFormat="1" ht="14.4" x14ac:dyDescent="0.25">
      <c r="B7" s="68">
        <v>6</v>
      </c>
      <c r="C7" s="86" t="s">
        <v>163</v>
      </c>
      <c r="D7" s="107">
        <v>12000</v>
      </c>
      <c r="E7" s="88"/>
      <c r="F7" s="75">
        <f t="shared" si="4"/>
        <v>0</v>
      </c>
      <c r="G7" s="75">
        <f>F7*$D$13</f>
        <v>0</v>
      </c>
      <c r="H7" s="106">
        <v>0.2</v>
      </c>
      <c r="I7" s="75">
        <f>F7*(1-H7)</f>
        <v>0</v>
      </c>
      <c r="J7" s="75">
        <f>G7*(1-H7)</f>
        <v>0</v>
      </c>
      <c r="K7" s="90">
        <v>7.4999999999999997E-2</v>
      </c>
      <c r="L7" s="91">
        <f t="shared" si="1"/>
        <v>0</v>
      </c>
      <c r="M7" s="91">
        <f t="shared" si="7"/>
        <v>0</v>
      </c>
      <c r="N7" s="91">
        <f t="shared" si="8"/>
        <v>0</v>
      </c>
      <c r="O7" s="92" t="e">
        <f t="shared" si="9"/>
        <v>#DIV/0!</v>
      </c>
    </row>
    <row r="8" spans="2:15" s="93" customFormat="1" ht="14.4" x14ac:dyDescent="0.25">
      <c r="B8" s="68">
        <v>7</v>
      </c>
      <c r="C8" s="86" t="s">
        <v>159</v>
      </c>
      <c r="D8" s="107">
        <v>2600</v>
      </c>
      <c r="E8" s="88"/>
      <c r="F8" s="75">
        <f t="shared" si="4"/>
        <v>0</v>
      </c>
      <c r="G8" s="75">
        <f t="shared" si="0"/>
        <v>0</v>
      </c>
      <c r="H8" s="106">
        <v>0.1</v>
      </c>
      <c r="I8" s="75">
        <f t="shared" si="10"/>
        <v>0</v>
      </c>
      <c r="J8" s="75">
        <f t="shared" si="11"/>
        <v>0</v>
      </c>
      <c r="K8" s="90">
        <v>0</v>
      </c>
      <c r="L8" s="91">
        <f t="shared" si="1"/>
        <v>0</v>
      </c>
      <c r="M8" s="91">
        <f t="shared" si="7"/>
        <v>0</v>
      </c>
      <c r="N8" s="91">
        <f t="shared" si="8"/>
        <v>0</v>
      </c>
      <c r="O8" s="92" t="e">
        <f t="shared" si="9"/>
        <v>#DIV/0!</v>
      </c>
    </row>
    <row r="9" spans="2:15" s="93" customFormat="1" ht="14.4" x14ac:dyDescent="0.25">
      <c r="B9" s="68">
        <v>8</v>
      </c>
      <c r="C9" s="86" t="s">
        <v>158</v>
      </c>
      <c r="D9" s="107">
        <v>200</v>
      </c>
      <c r="E9" s="88"/>
      <c r="F9" s="75">
        <f t="shared" si="4"/>
        <v>0</v>
      </c>
      <c r="G9" s="75">
        <f t="shared" si="0"/>
        <v>0</v>
      </c>
      <c r="H9" s="106">
        <v>0.1</v>
      </c>
      <c r="I9" s="75">
        <f t="shared" si="10"/>
        <v>0</v>
      </c>
      <c r="J9" s="75">
        <f t="shared" si="11"/>
        <v>0</v>
      </c>
      <c r="K9" s="90">
        <v>0</v>
      </c>
      <c r="L9" s="91">
        <f t="shared" si="1"/>
        <v>0</v>
      </c>
      <c r="M9" s="91">
        <f t="shared" si="7"/>
        <v>0</v>
      </c>
      <c r="N9" s="91">
        <f t="shared" si="8"/>
        <v>0</v>
      </c>
      <c r="O9" s="92" t="e">
        <f t="shared" si="9"/>
        <v>#DIV/0!</v>
      </c>
    </row>
    <row r="10" spans="2:15" s="93" customFormat="1" ht="14.4" x14ac:dyDescent="0.25">
      <c r="B10" s="68"/>
      <c r="C10" s="86"/>
      <c r="D10" s="107"/>
      <c r="E10" s="68"/>
      <c r="F10" s="107"/>
      <c r="G10" s="107"/>
      <c r="H10" s="106"/>
      <c r="I10" s="107"/>
      <c r="J10" s="107"/>
      <c r="K10" s="108"/>
      <c r="L10" s="91"/>
      <c r="M10" s="91"/>
      <c r="N10" s="91"/>
      <c r="O10" s="108"/>
    </row>
    <row r="11" spans="2:15" s="14" customFormat="1" x14ac:dyDescent="0.25">
      <c r="B11" s="25"/>
      <c r="C11" s="175" t="s">
        <v>47</v>
      </c>
      <c r="D11" s="176"/>
      <c r="E11" s="177"/>
      <c r="F11" s="26">
        <f>SUM(F3:F9)</f>
        <v>0</v>
      </c>
      <c r="G11" s="26">
        <f>SUM(G3:G9)</f>
        <v>0</v>
      </c>
      <c r="H11" s="27"/>
      <c r="I11" s="26">
        <f>SUM(I3:I9)</f>
        <v>0</v>
      </c>
      <c r="J11" s="26">
        <f>SUM(J3:J9)</f>
        <v>0</v>
      </c>
      <c r="K11" s="27"/>
      <c r="L11" s="94">
        <f>SUM(L3:L9)</f>
        <v>0</v>
      </c>
      <c r="M11" s="94">
        <f>SUM(M3:M9)</f>
        <v>0</v>
      </c>
      <c r="N11" s="26">
        <f>SUM(N3:N9)</f>
        <v>0</v>
      </c>
      <c r="O11" s="95" t="e">
        <f>N11/L11</f>
        <v>#DIV/0!</v>
      </c>
    </row>
    <row r="13" spans="2:15" x14ac:dyDescent="0.25">
      <c r="C13" s="6" t="s">
        <v>120</v>
      </c>
      <c r="D13" s="96">
        <f>ROUND(D14,2)</f>
        <v>4.16</v>
      </c>
    </row>
    <row r="14" spans="2:15" x14ac:dyDescent="0.25">
      <c r="C14" s="96" t="s">
        <v>166</v>
      </c>
      <c r="D14" s="169">
        <v>4.1580000000000004</v>
      </c>
      <c r="L14" s="52">
        <f>L4/2</f>
        <v>0</v>
      </c>
    </row>
  </sheetData>
  <mergeCells count="1">
    <mergeCell ref="C11:E11"/>
  </mergeCells>
  <pageMargins left="0.7" right="0.7" top="0.75" bottom="0.75" header="0.3" footer="0.3"/>
  <pageSetup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C25C-D346-47F8-9451-CAF3B768A81A}">
  <sheetPr>
    <tabColor rgb="FFFFFF00"/>
  </sheetPr>
  <dimension ref="B1:O16"/>
  <sheetViews>
    <sheetView zoomScale="78" zoomScaleNormal="78" workbookViewId="0">
      <selection activeCell="D4" sqref="D4"/>
    </sheetView>
  </sheetViews>
  <sheetFormatPr defaultRowHeight="13.8" x14ac:dyDescent="0.25"/>
  <cols>
    <col min="1" max="1" width="4" customWidth="1"/>
    <col min="2" max="2" width="5.59765625" customWidth="1"/>
    <col min="3" max="3" width="48.296875" bestFit="1" customWidth="1"/>
    <col min="4" max="4" width="6.69921875" bestFit="1" customWidth="1"/>
    <col min="5" max="5" width="7.296875" customWidth="1"/>
    <col min="6" max="6" width="15.59765625" customWidth="1"/>
    <col min="7" max="7" width="14.5" bestFit="1" customWidth="1"/>
    <col min="8" max="8" width="14" bestFit="1" customWidth="1"/>
    <col min="9" max="9" width="16.59765625" bestFit="1" customWidth="1"/>
    <col min="10" max="10" width="9.09765625" bestFit="1" customWidth="1"/>
    <col min="11" max="12" width="13.59765625" customWidth="1"/>
    <col min="13" max="13" width="11.59765625" customWidth="1"/>
    <col min="14" max="14" width="13.09765625" bestFit="1" customWidth="1"/>
    <col min="15" max="15" width="8.09765625" bestFit="1" customWidth="1"/>
    <col min="16" max="16" width="11.59765625" bestFit="1" customWidth="1"/>
    <col min="17" max="17" width="10.09765625" bestFit="1" customWidth="1"/>
    <col min="18" max="18" width="9.5" bestFit="1" customWidth="1"/>
  </cols>
  <sheetData>
    <row r="1" spans="2:15" x14ac:dyDescent="0.25">
      <c r="E1" s="40"/>
    </row>
    <row r="2" spans="2:15" x14ac:dyDescent="0.25">
      <c r="C2" s="65"/>
      <c r="D2" s="65"/>
      <c r="J2" s="40"/>
      <c r="K2" s="40"/>
      <c r="N2" s="6"/>
    </row>
    <row r="3" spans="2:15" ht="36" customHeight="1" x14ac:dyDescent="0.25">
      <c r="B3" s="22" t="s">
        <v>48</v>
      </c>
      <c r="C3" s="23" t="s">
        <v>49</v>
      </c>
      <c r="D3" s="22" t="s">
        <v>50</v>
      </c>
      <c r="E3" s="22" t="s">
        <v>142</v>
      </c>
      <c r="F3" s="22" t="s">
        <v>51</v>
      </c>
      <c r="G3" s="22" t="s">
        <v>52</v>
      </c>
      <c r="H3" s="22" t="s">
        <v>141</v>
      </c>
      <c r="I3" s="22" t="s">
        <v>53</v>
      </c>
      <c r="J3" s="22" t="s">
        <v>66</v>
      </c>
      <c r="K3" s="22" t="s">
        <v>57</v>
      </c>
      <c r="L3" s="22" t="s">
        <v>54</v>
      </c>
      <c r="M3" s="22" t="s">
        <v>55</v>
      </c>
      <c r="N3" s="6"/>
      <c r="O3" s="6"/>
    </row>
    <row r="4" spans="2:15" ht="15" x14ac:dyDescent="0.25">
      <c r="B4" s="24">
        <v>1</v>
      </c>
      <c r="C4" s="109" t="s">
        <v>175</v>
      </c>
      <c r="D4" s="164"/>
      <c r="E4" s="41">
        <v>12</v>
      </c>
      <c r="F4" s="111">
        <f>E4*$D$13*1</f>
        <v>49.92</v>
      </c>
      <c r="G4" s="31">
        <f>D4*F4</f>
        <v>0</v>
      </c>
      <c r="H4" s="101">
        <v>0.1</v>
      </c>
      <c r="I4" s="31">
        <f>G4*(1+H4)</f>
        <v>0</v>
      </c>
      <c r="J4" s="31">
        <f>I4*0.08</f>
        <v>0</v>
      </c>
      <c r="K4" s="31">
        <f>I4*1.08</f>
        <v>0</v>
      </c>
      <c r="L4" s="31">
        <f>I4-G4</f>
        <v>0</v>
      </c>
      <c r="M4" s="56" t="e">
        <f t="shared" ref="M4:M11" si="0">L4/G4</f>
        <v>#DIV/0!</v>
      </c>
      <c r="N4" s="6"/>
      <c r="O4" s="6"/>
    </row>
    <row r="5" spans="2:15" ht="15" x14ac:dyDescent="0.25">
      <c r="B5" s="24">
        <v>2</v>
      </c>
      <c r="C5" s="110" t="s">
        <v>176</v>
      </c>
      <c r="D5" s="164"/>
      <c r="E5" s="41">
        <v>12</v>
      </c>
      <c r="F5" s="111">
        <f t="shared" ref="F5:F8" si="1">E5*$D$13*1</f>
        <v>49.92</v>
      </c>
      <c r="G5" s="31">
        <f t="shared" ref="G5:G9" si="2">D5*F5</f>
        <v>0</v>
      </c>
      <c r="H5" s="101">
        <v>0.1</v>
      </c>
      <c r="I5" s="31">
        <f t="shared" ref="I5:I10" si="3">G5*(1+H5)</f>
        <v>0</v>
      </c>
      <c r="J5" s="31">
        <f t="shared" ref="J5:J10" si="4">I5*0.08</f>
        <v>0</v>
      </c>
      <c r="K5" s="31">
        <f t="shared" ref="K5:K10" si="5">I5*1.08</f>
        <v>0</v>
      </c>
      <c r="L5" s="31">
        <f t="shared" ref="L5:L10" si="6">I5-G5</f>
        <v>0</v>
      </c>
      <c r="M5" s="56" t="e">
        <f t="shared" si="0"/>
        <v>#DIV/0!</v>
      </c>
      <c r="N5" s="6"/>
      <c r="O5" s="6"/>
    </row>
    <row r="6" spans="2:15" ht="15" x14ac:dyDescent="0.25">
      <c r="B6" s="24">
        <v>3</v>
      </c>
      <c r="C6" s="110" t="s">
        <v>176</v>
      </c>
      <c r="D6" s="164"/>
      <c r="E6" s="41">
        <v>12</v>
      </c>
      <c r="F6" s="111">
        <f t="shared" si="1"/>
        <v>49.92</v>
      </c>
      <c r="G6" s="31">
        <f t="shared" si="2"/>
        <v>0</v>
      </c>
      <c r="H6" s="101">
        <v>0.1</v>
      </c>
      <c r="I6" s="31">
        <f t="shared" si="3"/>
        <v>0</v>
      </c>
      <c r="J6" s="31">
        <f t="shared" si="4"/>
        <v>0</v>
      </c>
      <c r="K6" s="31">
        <f t="shared" si="5"/>
        <v>0</v>
      </c>
      <c r="L6" s="31">
        <f t="shared" si="6"/>
        <v>0</v>
      </c>
      <c r="M6" s="56" t="e">
        <f t="shared" ref="M6:M9" si="7">L6/G6</f>
        <v>#DIV/0!</v>
      </c>
      <c r="N6" s="6"/>
      <c r="O6" s="6"/>
    </row>
    <row r="7" spans="2:15" ht="15" x14ac:dyDescent="0.25">
      <c r="B7" s="24">
        <v>4</v>
      </c>
      <c r="C7" s="110" t="s">
        <v>211</v>
      </c>
      <c r="D7" s="164"/>
      <c r="E7" s="41">
        <v>12</v>
      </c>
      <c r="F7" s="111">
        <f t="shared" si="1"/>
        <v>49.92</v>
      </c>
      <c r="G7" s="31">
        <f t="shared" si="2"/>
        <v>0</v>
      </c>
      <c r="H7" s="101">
        <v>0.1</v>
      </c>
      <c r="I7" s="31">
        <f t="shared" si="3"/>
        <v>0</v>
      </c>
      <c r="J7" s="31">
        <f t="shared" si="4"/>
        <v>0</v>
      </c>
      <c r="K7" s="31">
        <f t="shared" si="5"/>
        <v>0</v>
      </c>
      <c r="L7" s="31">
        <f t="shared" si="6"/>
        <v>0</v>
      </c>
      <c r="M7" s="56" t="e">
        <f t="shared" si="7"/>
        <v>#DIV/0!</v>
      </c>
      <c r="N7" s="6"/>
      <c r="O7" s="6"/>
    </row>
    <row r="8" spans="2:15" ht="15" x14ac:dyDescent="0.25">
      <c r="B8" s="24">
        <v>5</v>
      </c>
      <c r="C8" s="110" t="s">
        <v>212</v>
      </c>
      <c r="D8" s="164"/>
      <c r="E8" s="41">
        <v>12</v>
      </c>
      <c r="F8" s="111">
        <f t="shared" si="1"/>
        <v>49.92</v>
      </c>
      <c r="G8" s="31">
        <f t="shared" si="2"/>
        <v>0</v>
      </c>
      <c r="H8" s="101">
        <v>0.1</v>
      </c>
      <c r="I8" s="31">
        <f t="shared" si="3"/>
        <v>0</v>
      </c>
      <c r="J8" s="31">
        <f t="shared" si="4"/>
        <v>0</v>
      </c>
      <c r="K8" s="31">
        <f t="shared" si="5"/>
        <v>0</v>
      </c>
      <c r="L8" s="31">
        <f t="shared" si="6"/>
        <v>0</v>
      </c>
      <c r="M8" s="56" t="e">
        <f t="shared" si="7"/>
        <v>#DIV/0!</v>
      </c>
      <c r="N8" s="6"/>
      <c r="O8" s="6"/>
    </row>
    <row r="9" spans="2:15" x14ac:dyDescent="0.25">
      <c r="B9" s="24">
        <v>4</v>
      </c>
      <c r="C9" s="28" t="s">
        <v>207</v>
      </c>
      <c r="D9" s="164"/>
      <c r="E9" s="41">
        <v>12</v>
      </c>
      <c r="F9" s="111">
        <f>E9*$D$13*540</f>
        <v>26956.799999999999</v>
      </c>
      <c r="G9" s="31">
        <f t="shared" si="2"/>
        <v>0</v>
      </c>
      <c r="H9" s="101">
        <v>0.1</v>
      </c>
      <c r="I9" s="31">
        <f t="shared" si="3"/>
        <v>0</v>
      </c>
      <c r="J9" s="31">
        <f t="shared" si="4"/>
        <v>0</v>
      </c>
      <c r="K9" s="31">
        <f t="shared" si="5"/>
        <v>0</v>
      </c>
      <c r="L9" s="31">
        <f t="shared" si="6"/>
        <v>0</v>
      </c>
      <c r="M9" s="56" t="e">
        <f t="shared" si="7"/>
        <v>#DIV/0!</v>
      </c>
      <c r="N9" s="52">
        <f>SUM(I9:I10)</f>
        <v>0</v>
      </c>
      <c r="O9" s="52">
        <f>0.08*N9</f>
        <v>0</v>
      </c>
    </row>
    <row r="10" spans="2:15" x14ac:dyDescent="0.25">
      <c r="B10" s="24">
        <v>5</v>
      </c>
      <c r="C10" s="28" t="s">
        <v>206</v>
      </c>
      <c r="D10" s="165"/>
      <c r="E10" s="41">
        <v>12</v>
      </c>
      <c r="G10" s="31">
        <f>D10*F11*E10</f>
        <v>0</v>
      </c>
      <c r="H10" s="101">
        <v>0.1</v>
      </c>
      <c r="I10" s="31">
        <f t="shared" si="3"/>
        <v>0</v>
      </c>
      <c r="J10" s="31">
        <f t="shared" si="4"/>
        <v>0</v>
      </c>
      <c r="K10" s="31">
        <f t="shared" si="5"/>
        <v>0</v>
      </c>
      <c r="L10" s="31">
        <f t="shared" si="6"/>
        <v>0</v>
      </c>
      <c r="M10" s="56" t="e">
        <f t="shared" si="0"/>
        <v>#DIV/0!</v>
      </c>
      <c r="N10" s="6"/>
      <c r="O10" s="6"/>
    </row>
    <row r="11" spans="2:15" x14ac:dyDescent="0.25">
      <c r="B11" s="54"/>
      <c r="C11" s="19" t="s">
        <v>47</v>
      </c>
      <c r="D11" s="19"/>
      <c r="E11" s="19"/>
      <c r="F11" s="111">
        <f>D10*E10*$D$13*1</f>
        <v>0</v>
      </c>
      <c r="G11" s="55">
        <f>SUM(G4:G10)</f>
        <v>0</v>
      </c>
      <c r="H11" s="166"/>
      <c r="I11" s="167">
        <f t="shared" ref="I11" si="8">G11*(1+H11)</f>
        <v>0</v>
      </c>
      <c r="J11" s="167">
        <f t="shared" ref="J11" si="9">I11*0.08</f>
        <v>0</v>
      </c>
      <c r="K11" s="168">
        <f t="shared" ref="K11" si="10">I11*1.08</f>
        <v>0</v>
      </c>
      <c r="L11" s="167">
        <f t="shared" ref="L11" si="11">I11-G11</f>
        <v>0</v>
      </c>
      <c r="M11" s="56" t="e">
        <f t="shared" si="0"/>
        <v>#DIV/0!</v>
      </c>
      <c r="N11" s="6"/>
    </row>
    <row r="12" spans="2:15" x14ac:dyDescent="0.25">
      <c r="E12" s="40"/>
    </row>
    <row r="13" spans="2:15" x14ac:dyDescent="0.25">
      <c r="C13" s="6" t="s">
        <v>120</v>
      </c>
      <c r="D13" s="96">
        <f>ROUND(D14,2)</f>
        <v>4.16</v>
      </c>
      <c r="E13" s="40"/>
    </row>
    <row r="14" spans="2:15" x14ac:dyDescent="0.25">
      <c r="C14" s="96" t="s">
        <v>166</v>
      </c>
      <c r="D14" s="169">
        <f>'Lic-UiPath'!D14</f>
        <v>4.1580000000000004</v>
      </c>
      <c r="E14" s="40"/>
    </row>
    <row r="15" spans="2:15" x14ac:dyDescent="0.25">
      <c r="E15" s="40"/>
    </row>
    <row r="16" spans="2:15" x14ac:dyDescent="0.25">
      <c r="E16" s="40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C59A-C8E8-48A0-9A63-9A74FFA8E8F7}">
  <sheetPr>
    <tabColor rgb="FFFFFF00"/>
  </sheetPr>
  <dimension ref="B1:L22"/>
  <sheetViews>
    <sheetView zoomScale="79" zoomScaleNormal="79" zoomScaleSheetLayoutView="64" workbookViewId="0">
      <selection activeCell="D3" sqref="D3"/>
    </sheetView>
  </sheetViews>
  <sheetFormatPr defaultColWidth="9.09765625" defaultRowHeight="13.2" x14ac:dyDescent="0.25"/>
  <cols>
    <col min="1" max="1" width="3.296875" style="6" customWidth="1"/>
    <col min="2" max="2" width="4.296875" style="20" customWidth="1"/>
    <col min="3" max="3" width="40.296875" style="6" bestFit="1" customWidth="1"/>
    <col min="4" max="4" width="5.59765625" style="6" customWidth="1"/>
    <col min="5" max="5" width="12.59765625" style="6" bestFit="1" customWidth="1"/>
    <col min="6" max="6" width="9.59765625" style="6" bestFit="1" customWidth="1"/>
    <col min="7" max="7" width="12.59765625" style="6" bestFit="1" customWidth="1"/>
    <col min="8" max="8" width="10" style="6" bestFit="1" customWidth="1"/>
    <col min="9" max="10" width="12.09765625" style="6" bestFit="1" customWidth="1"/>
    <col min="11" max="11" width="11.5" style="6" customWidth="1"/>
    <col min="12" max="12" width="10.796875" style="6" customWidth="1"/>
    <col min="13" max="16384" width="9.09765625" style="6"/>
  </cols>
  <sheetData>
    <row r="1" spans="2:12" ht="17.399999999999999" x14ac:dyDescent="0.3">
      <c r="C1" s="85" t="s">
        <v>174</v>
      </c>
    </row>
    <row r="2" spans="2:12" s="21" customFormat="1" ht="56.1" customHeight="1" x14ac:dyDescent="0.25">
      <c r="B2" s="22" t="s">
        <v>48</v>
      </c>
      <c r="C2" s="23" t="s">
        <v>49</v>
      </c>
      <c r="D2" s="22" t="s">
        <v>113</v>
      </c>
      <c r="E2" s="22" t="s">
        <v>115</v>
      </c>
      <c r="F2" s="22" t="s">
        <v>116</v>
      </c>
      <c r="G2" s="22" t="s">
        <v>117</v>
      </c>
      <c r="H2" s="22" t="s">
        <v>118</v>
      </c>
      <c r="I2" s="22" t="s">
        <v>53</v>
      </c>
      <c r="J2" s="22" t="s">
        <v>128</v>
      </c>
      <c r="K2" s="22" t="s">
        <v>54</v>
      </c>
      <c r="L2" s="22" t="s">
        <v>55</v>
      </c>
    </row>
    <row r="3" spans="2:12" s="93" customFormat="1" ht="23.55" customHeight="1" x14ac:dyDescent="0.25">
      <c r="B3" s="68">
        <v>1</v>
      </c>
      <c r="C3" s="86" t="s">
        <v>167</v>
      </c>
      <c r="D3" s="88"/>
      <c r="E3" s="75">
        <v>7200</v>
      </c>
      <c r="F3" s="89">
        <v>0.35</v>
      </c>
      <c r="G3" s="75">
        <f>D3*E3*(1-F3)</f>
        <v>0</v>
      </c>
      <c r="H3" s="90">
        <v>0</v>
      </c>
      <c r="I3" s="91">
        <f>D3*E3*(1-H3)</f>
        <v>0</v>
      </c>
      <c r="J3" s="91">
        <f>I3*1.08</f>
        <v>0</v>
      </c>
      <c r="K3" s="91">
        <f>I3-G3</f>
        <v>0</v>
      </c>
      <c r="L3" s="92" t="e">
        <f>K3/I3</f>
        <v>#DIV/0!</v>
      </c>
    </row>
    <row r="4" spans="2:12" s="93" customFormat="1" ht="23.55" customHeight="1" x14ac:dyDescent="0.25">
      <c r="B4" s="68">
        <v>2</v>
      </c>
      <c r="C4" s="105" t="s">
        <v>168</v>
      </c>
      <c r="D4" s="88"/>
      <c r="E4" s="75">
        <v>15750</v>
      </c>
      <c r="F4" s="89">
        <v>0.35</v>
      </c>
      <c r="G4" s="75">
        <f t="shared" ref="G4:G9" si="0">D4*E4*(1-F4)</f>
        <v>0</v>
      </c>
      <c r="H4" s="90">
        <v>0</v>
      </c>
      <c r="I4" s="91">
        <f t="shared" ref="I4:I9" si="1">D4*E4*(1-H4)</f>
        <v>0</v>
      </c>
      <c r="J4" s="91">
        <f t="shared" ref="J4:J9" si="2">I4*1.08</f>
        <v>0</v>
      </c>
      <c r="K4" s="91">
        <f t="shared" ref="K4:K9" si="3">I4-G4</f>
        <v>0</v>
      </c>
      <c r="L4" s="92" t="e">
        <f t="shared" ref="L4:L9" si="4">K4/I4</f>
        <v>#DIV/0!</v>
      </c>
    </row>
    <row r="5" spans="2:12" s="93" customFormat="1" ht="23.55" customHeight="1" x14ac:dyDescent="0.25">
      <c r="B5" s="68">
        <v>3</v>
      </c>
      <c r="C5" s="105" t="s">
        <v>169</v>
      </c>
      <c r="D5" s="88"/>
      <c r="E5" s="75">
        <v>24000</v>
      </c>
      <c r="F5" s="89">
        <v>0.35</v>
      </c>
      <c r="G5" s="75">
        <f t="shared" si="0"/>
        <v>0</v>
      </c>
      <c r="H5" s="90">
        <v>0</v>
      </c>
      <c r="I5" s="91">
        <f t="shared" si="1"/>
        <v>0</v>
      </c>
      <c r="J5" s="91">
        <f t="shared" si="2"/>
        <v>0</v>
      </c>
      <c r="K5" s="91">
        <f t="shared" si="3"/>
        <v>0</v>
      </c>
      <c r="L5" s="92" t="e">
        <f t="shared" si="4"/>
        <v>#DIV/0!</v>
      </c>
    </row>
    <row r="6" spans="2:12" s="93" customFormat="1" ht="23.55" customHeight="1" x14ac:dyDescent="0.25">
      <c r="B6" s="68">
        <v>4</v>
      </c>
      <c r="C6" s="105" t="s">
        <v>170</v>
      </c>
      <c r="D6" s="88"/>
      <c r="E6" s="75">
        <v>18000</v>
      </c>
      <c r="F6" s="89">
        <v>0.35</v>
      </c>
      <c r="G6" s="75">
        <f t="shared" si="0"/>
        <v>0</v>
      </c>
      <c r="H6" s="90">
        <v>0</v>
      </c>
      <c r="I6" s="91">
        <f t="shared" si="1"/>
        <v>0</v>
      </c>
      <c r="J6" s="91">
        <f t="shared" si="2"/>
        <v>0</v>
      </c>
      <c r="K6" s="91">
        <f t="shared" si="3"/>
        <v>0</v>
      </c>
      <c r="L6" s="92" t="e">
        <f t="shared" si="4"/>
        <v>#DIV/0!</v>
      </c>
    </row>
    <row r="7" spans="2:12" s="93" customFormat="1" ht="23.55" customHeight="1" x14ac:dyDescent="0.25">
      <c r="B7" s="68">
        <v>5</v>
      </c>
      <c r="C7" s="105" t="s">
        <v>171</v>
      </c>
      <c r="D7" s="88"/>
      <c r="E7" s="75">
        <v>4500</v>
      </c>
      <c r="F7" s="89">
        <v>0.35</v>
      </c>
      <c r="G7" s="75">
        <f t="shared" si="0"/>
        <v>0</v>
      </c>
      <c r="H7" s="90">
        <v>0</v>
      </c>
      <c r="I7" s="91">
        <f t="shared" si="1"/>
        <v>0</v>
      </c>
      <c r="J7" s="91">
        <f t="shared" si="2"/>
        <v>0</v>
      </c>
      <c r="K7" s="91">
        <f t="shared" si="3"/>
        <v>0</v>
      </c>
      <c r="L7" s="92" t="e">
        <f t="shared" si="4"/>
        <v>#DIV/0!</v>
      </c>
    </row>
    <row r="8" spans="2:12" s="93" customFormat="1" ht="23.55" customHeight="1" x14ac:dyDescent="0.25">
      <c r="B8" s="68">
        <v>6</v>
      </c>
      <c r="C8" s="105" t="s">
        <v>172</v>
      </c>
      <c r="D8" s="88"/>
      <c r="E8" s="75">
        <v>400000</v>
      </c>
      <c r="F8" s="89">
        <v>0.35</v>
      </c>
      <c r="G8" s="75">
        <f t="shared" si="0"/>
        <v>0</v>
      </c>
      <c r="H8" s="90">
        <v>0</v>
      </c>
      <c r="I8" s="91">
        <f t="shared" si="1"/>
        <v>0</v>
      </c>
      <c r="J8" s="91">
        <f t="shared" si="2"/>
        <v>0</v>
      </c>
      <c r="K8" s="91">
        <f t="shared" si="3"/>
        <v>0</v>
      </c>
      <c r="L8" s="92" t="e">
        <f t="shared" si="4"/>
        <v>#DIV/0!</v>
      </c>
    </row>
    <row r="9" spans="2:12" s="93" customFormat="1" ht="23.55" customHeight="1" x14ac:dyDescent="0.25">
      <c r="B9" s="68">
        <v>7</v>
      </c>
      <c r="C9" s="105" t="s">
        <v>173</v>
      </c>
      <c r="D9" s="88"/>
      <c r="E9" s="75">
        <v>60000</v>
      </c>
      <c r="F9" s="89">
        <v>0.35</v>
      </c>
      <c r="G9" s="75">
        <f t="shared" si="0"/>
        <v>0</v>
      </c>
      <c r="H9" s="90">
        <v>0</v>
      </c>
      <c r="I9" s="91">
        <f t="shared" si="1"/>
        <v>0</v>
      </c>
      <c r="J9" s="91">
        <f t="shared" si="2"/>
        <v>0</v>
      </c>
      <c r="K9" s="91">
        <f t="shared" si="3"/>
        <v>0</v>
      </c>
      <c r="L9" s="92" t="e">
        <f t="shared" si="4"/>
        <v>#DIV/0!</v>
      </c>
    </row>
    <row r="10" spans="2:12" s="93" customFormat="1" ht="23.55" customHeight="1" x14ac:dyDescent="0.25">
      <c r="B10" s="68"/>
      <c r="C10" s="105"/>
      <c r="D10" s="88"/>
      <c r="E10" s="75"/>
      <c r="F10" s="89"/>
      <c r="G10" s="75"/>
      <c r="H10" s="90"/>
      <c r="I10" s="91"/>
      <c r="J10" s="91"/>
      <c r="K10" s="91"/>
      <c r="L10" s="92"/>
    </row>
    <row r="11" spans="2:12" s="14" customFormat="1" x14ac:dyDescent="0.25">
      <c r="B11" s="25"/>
      <c r="C11" s="175" t="s">
        <v>47</v>
      </c>
      <c r="D11" s="177"/>
      <c r="E11" s="26"/>
      <c r="F11" s="27"/>
      <c r="G11" s="26">
        <f>SUM(G3:G10)</f>
        <v>0</v>
      </c>
      <c r="H11" s="27"/>
      <c r="I11" s="94">
        <f>SUM(I3:I10)</f>
        <v>0</v>
      </c>
      <c r="J11" s="94">
        <f>SUM(J3:J10)</f>
        <v>0</v>
      </c>
      <c r="K11" s="26">
        <f>SUM(K3:K9)</f>
        <v>0</v>
      </c>
      <c r="L11" s="95" t="e">
        <f>K11/I11</f>
        <v>#DIV/0!</v>
      </c>
    </row>
    <row r="12" spans="2:12" x14ac:dyDescent="0.25">
      <c r="G12" s="52"/>
    </row>
    <row r="16" spans="2:12" hidden="1" x14ac:dyDescent="0.25">
      <c r="B16" s="24"/>
      <c r="C16" s="8"/>
      <c r="D16" s="8" t="s">
        <v>113</v>
      </c>
      <c r="E16" s="8" t="s">
        <v>121</v>
      </c>
    </row>
    <row r="17" spans="2:5" hidden="1" x14ac:dyDescent="0.25">
      <c r="B17" s="24">
        <v>1</v>
      </c>
      <c r="C17" s="8" t="s">
        <v>122</v>
      </c>
      <c r="D17" s="8">
        <v>1</v>
      </c>
      <c r="E17" s="97" t="e">
        <f>(I3-#REF!)/#REF!</f>
        <v>#REF!</v>
      </c>
    </row>
    <row r="18" spans="2:5" hidden="1" x14ac:dyDescent="0.25">
      <c r="B18" s="24">
        <v>2</v>
      </c>
      <c r="C18" s="8" t="s">
        <v>123</v>
      </c>
      <c r="D18" s="8">
        <v>1</v>
      </c>
      <c r="E18" s="97" t="e">
        <f>(#REF!-#REF!)/#REF!</f>
        <v>#REF!</v>
      </c>
    </row>
    <row r="19" spans="2:5" hidden="1" x14ac:dyDescent="0.25">
      <c r="B19" s="24"/>
      <c r="C19" s="8" t="s">
        <v>47</v>
      </c>
      <c r="D19" s="8"/>
      <c r="E19" s="8"/>
    </row>
    <row r="20" spans="2:5" hidden="1" x14ac:dyDescent="0.25"/>
    <row r="21" spans="2:5" hidden="1" x14ac:dyDescent="0.25"/>
    <row r="22" spans="2:5" hidden="1" x14ac:dyDescent="0.25"/>
  </sheetData>
  <mergeCells count="1">
    <mergeCell ref="C11:D11"/>
  </mergeCells>
  <pageMargins left="0.7" right="0.7" top="0.75" bottom="0.75" header="0.3" footer="0.3"/>
  <pageSetup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8A79-29C5-4731-BA84-A05F1B3F7D98}">
  <sheetPr>
    <tabColor rgb="FFFFFF00"/>
  </sheetPr>
  <dimension ref="B1:H40"/>
  <sheetViews>
    <sheetView topLeftCell="A12" zoomScaleNormal="100" workbookViewId="0">
      <selection activeCell="C7" sqref="C7"/>
    </sheetView>
  </sheetViews>
  <sheetFormatPr defaultRowHeight="13.8" x14ac:dyDescent="0.25"/>
  <cols>
    <col min="1" max="1" width="4.09765625" customWidth="1"/>
    <col min="2" max="2" width="29" customWidth="1"/>
    <col min="3" max="3" width="16.09765625" bestFit="1" customWidth="1"/>
    <col min="4" max="4" width="14.796875" customWidth="1"/>
    <col min="5" max="5" width="19.19921875" bestFit="1" customWidth="1"/>
    <col min="6" max="6" width="16.09765625" bestFit="1" customWidth="1"/>
    <col min="7" max="7" width="16.19921875" bestFit="1" customWidth="1"/>
    <col min="8" max="8" width="17.296875" customWidth="1"/>
  </cols>
  <sheetData>
    <row r="1" spans="2:8" x14ac:dyDescent="0.25">
      <c r="B1" s="1" t="s">
        <v>124</v>
      </c>
    </row>
    <row r="3" spans="2:8" x14ac:dyDescent="0.25">
      <c r="B3" s="3" t="s">
        <v>10</v>
      </c>
      <c r="C3" s="13" t="s">
        <v>11</v>
      </c>
    </row>
    <row r="4" spans="2:8" x14ac:dyDescent="0.25">
      <c r="B4" s="2" t="s">
        <v>12</v>
      </c>
      <c r="C4" s="12">
        <v>2000</v>
      </c>
    </row>
    <row r="5" spans="2:8" x14ac:dyDescent="0.25">
      <c r="B5" s="2" t="s">
        <v>76</v>
      </c>
      <c r="C5" s="12">
        <v>1500</v>
      </c>
    </row>
    <row r="6" spans="2:8" x14ac:dyDescent="0.25">
      <c r="B6" s="2" t="s">
        <v>125</v>
      </c>
      <c r="C6" s="12">
        <v>1200</v>
      </c>
    </row>
    <row r="7" spans="2:8" x14ac:dyDescent="0.25">
      <c r="B7" s="2" t="s">
        <v>68</v>
      </c>
      <c r="C7" s="12">
        <v>1500</v>
      </c>
    </row>
    <row r="9" spans="2:8" x14ac:dyDescent="0.25">
      <c r="B9" s="14" t="s">
        <v>99</v>
      </c>
    </row>
    <row r="10" spans="2:8" x14ac:dyDescent="0.25">
      <c r="B10" s="3" t="s">
        <v>80</v>
      </c>
      <c r="C10" s="3" t="s">
        <v>58</v>
      </c>
      <c r="D10" s="3" t="s">
        <v>45</v>
      </c>
      <c r="E10" s="98" t="s">
        <v>126</v>
      </c>
      <c r="F10" s="3" t="s">
        <v>127</v>
      </c>
      <c r="G10" s="3" t="s">
        <v>46</v>
      </c>
      <c r="H10" s="3" t="s">
        <v>47</v>
      </c>
    </row>
    <row r="11" spans="2:8" x14ac:dyDescent="0.25">
      <c r="B11" s="31" t="s">
        <v>99</v>
      </c>
      <c r="C11" s="111">
        <v>0</v>
      </c>
      <c r="D11" s="31">
        <v>1200</v>
      </c>
      <c r="E11" s="111">
        <v>300</v>
      </c>
      <c r="F11" s="31">
        <f>D11-E11</f>
        <v>900</v>
      </c>
      <c r="G11" s="111">
        <f>(3+2+1)*12</f>
        <v>72</v>
      </c>
      <c r="H11" s="31">
        <f>(F11*G11*C11)</f>
        <v>0</v>
      </c>
    </row>
    <row r="12" spans="2:8" x14ac:dyDescent="0.25">
      <c r="B12" s="31" t="s">
        <v>66</v>
      </c>
      <c r="C12" s="31"/>
      <c r="D12" s="31"/>
      <c r="E12" s="31"/>
      <c r="F12" s="31"/>
      <c r="G12" s="31"/>
      <c r="H12" s="31">
        <f>H11*0.08</f>
        <v>0</v>
      </c>
    </row>
    <row r="13" spans="2:8" x14ac:dyDescent="0.25">
      <c r="B13" s="31" t="s">
        <v>47</v>
      </c>
      <c r="C13" s="31"/>
      <c r="D13" s="31"/>
      <c r="E13" s="31"/>
      <c r="F13" s="31"/>
      <c r="G13" s="31"/>
      <c r="H13" s="31">
        <f>SUM(H11:H12)</f>
        <v>0</v>
      </c>
    </row>
    <row r="16" spans="2:8" x14ac:dyDescent="0.25">
      <c r="B16" s="112" t="s">
        <v>129</v>
      </c>
    </row>
    <row r="17" spans="2:8" x14ac:dyDescent="0.25">
      <c r="B17" s="3" t="s">
        <v>44</v>
      </c>
      <c r="C17" s="3" t="s">
        <v>58</v>
      </c>
      <c r="D17" s="3" t="s">
        <v>45</v>
      </c>
      <c r="E17" s="98" t="s">
        <v>126</v>
      </c>
      <c r="F17" s="3" t="s">
        <v>127</v>
      </c>
      <c r="G17" s="3" t="s">
        <v>46</v>
      </c>
      <c r="H17" s="3" t="s">
        <v>47</v>
      </c>
    </row>
    <row r="18" spans="2:8" x14ac:dyDescent="0.25">
      <c r="B18" s="31" t="str">
        <f>B6</f>
        <v>RPA Support</v>
      </c>
      <c r="C18" s="111">
        <v>0</v>
      </c>
      <c r="D18" s="31">
        <f>C6</f>
        <v>1200</v>
      </c>
      <c r="E18" s="111"/>
      <c r="F18" s="31">
        <f>D18-E18</f>
        <v>1200</v>
      </c>
      <c r="G18" s="111">
        <v>0</v>
      </c>
      <c r="H18" s="31">
        <f>(D18*G18)</f>
        <v>0</v>
      </c>
    </row>
    <row r="19" spans="2:8" x14ac:dyDescent="0.25">
      <c r="B19" s="31" t="str">
        <f>B5</f>
        <v>Support Manager</v>
      </c>
      <c r="C19" s="111">
        <v>0</v>
      </c>
      <c r="D19" s="31">
        <f>C5</f>
        <v>1500</v>
      </c>
      <c r="E19" s="111"/>
      <c r="F19" s="31">
        <f t="shared" ref="F19:F21" si="0">D19-E19</f>
        <v>1500</v>
      </c>
      <c r="G19" s="113">
        <v>0</v>
      </c>
      <c r="H19" s="31">
        <f t="shared" ref="H19:H21" si="1">(D19*G19)</f>
        <v>0</v>
      </c>
    </row>
    <row r="20" spans="2:8" x14ac:dyDescent="0.25">
      <c r="B20" s="31" t="str">
        <f>B4</f>
        <v>Director</v>
      </c>
      <c r="C20" s="111"/>
      <c r="D20" s="31">
        <f>C4</f>
        <v>2000</v>
      </c>
      <c r="E20" s="111"/>
      <c r="F20" s="31">
        <f>D20-E20</f>
        <v>2000</v>
      </c>
      <c r="G20" s="111"/>
      <c r="H20" s="31">
        <f t="shared" si="1"/>
        <v>0</v>
      </c>
    </row>
    <row r="21" spans="2:8" x14ac:dyDescent="0.25">
      <c r="B21" s="31" t="str">
        <f>B7</f>
        <v>External</v>
      </c>
      <c r="C21" s="111"/>
      <c r="D21" s="31">
        <f>C7</f>
        <v>1500</v>
      </c>
      <c r="E21" s="111"/>
      <c r="F21" s="31">
        <f t="shared" si="0"/>
        <v>1500</v>
      </c>
      <c r="G21" s="111"/>
      <c r="H21" s="31">
        <f t="shared" si="1"/>
        <v>0</v>
      </c>
    </row>
    <row r="22" spans="2:8" x14ac:dyDescent="0.25">
      <c r="B22" s="31"/>
      <c r="C22" s="31"/>
      <c r="D22" s="31"/>
      <c r="E22" s="31"/>
      <c r="F22" s="31"/>
      <c r="G22" s="31"/>
      <c r="H22" s="31"/>
    </row>
    <row r="23" spans="2:8" x14ac:dyDescent="0.25">
      <c r="B23" s="31" t="s">
        <v>47</v>
      </c>
      <c r="C23" s="31"/>
      <c r="D23" s="31"/>
      <c r="E23" s="31"/>
      <c r="F23" s="31"/>
      <c r="G23" s="31"/>
      <c r="H23" s="31">
        <f>SUM(H18:H20)</f>
        <v>0</v>
      </c>
    </row>
    <row r="24" spans="2:8" x14ac:dyDescent="0.25">
      <c r="B24" s="31" t="s">
        <v>66</v>
      </c>
      <c r="C24" s="31"/>
      <c r="D24" s="31"/>
      <c r="E24" s="31"/>
      <c r="F24" s="31"/>
      <c r="G24" s="31"/>
      <c r="H24" s="31">
        <f>H18*0.08</f>
        <v>0</v>
      </c>
    </row>
    <row r="25" spans="2:8" x14ac:dyDescent="0.25">
      <c r="B25" s="31" t="s">
        <v>177</v>
      </c>
      <c r="C25" s="31"/>
      <c r="D25" s="31"/>
      <c r="E25" s="31"/>
      <c r="F25" s="31"/>
      <c r="G25" s="31"/>
      <c r="H25" s="31">
        <f>SUM(H23:H24)</f>
        <v>0</v>
      </c>
    </row>
    <row r="27" spans="2:8" x14ac:dyDescent="0.25">
      <c r="G27" t="s">
        <v>59</v>
      </c>
      <c r="H27" s="40">
        <f>H11+H12</f>
        <v>0</v>
      </c>
    </row>
    <row r="29" spans="2:8" x14ac:dyDescent="0.25">
      <c r="C29">
        <f>18900/7/900</f>
        <v>3</v>
      </c>
    </row>
    <row r="31" spans="2:8" ht="14.4" thickBot="1" x14ac:dyDescent="0.3"/>
    <row r="32" spans="2:8" ht="14.4" thickBot="1" x14ac:dyDescent="0.3">
      <c r="B32" s="160"/>
      <c r="C32" s="161">
        <v>2024</v>
      </c>
      <c r="D32" s="162">
        <v>2025</v>
      </c>
    </row>
    <row r="33" spans="2:4" x14ac:dyDescent="0.25">
      <c r="B33" s="157" t="s">
        <v>200</v>
      </c>
      <c r="C33" s="158">
        <f>3*7</f>
        <v>21</v>
      </c>
      <c r="D33" s="159">
        <f>3*12</f>
        <v>36</v>
      </c>
    </row>
    <row r="34" spans="2:4" x14ac:dyDescent="0.25">
      <c r="B34" s="152" t="s">
        <v>201</v>
      </c>
      <c r="C34" s="31">
        <f>2*12</f>
        <v>24</v>
      </c>
      <c r="D34" s="153">
        <f>2*12</f>
        <v>24</v>
      </c>
    </row>
    <row r="35" spans="2:4" x14ac:dyDescent="0.25">
      <c r="B35" s="152" t="s">
        <v>202</v>
      </c>
      <c r="C35" s="31">
        <f>1*12</f>
        <v>12</v>
      </c>
      <c r="D35" s="153">
        <f>1*12</f>
        <v>12</v>
      </c>
    </row>
    <row r="36" spans="2:4" x14ac:dyDescent="0.25">
      <c r="B36" s="152" t="s">
        <v>203</v>
      </c>
      <c r="C36" s="31">
        <f>SUM(C33:C35)</f>
        <v>57</v>
      </c>
      <c r="D36" s="153">
        <f>SUM(D33:D35)</f>
        <v>72</v>
      </c>
    </row>
    <row r="37" spans="2:4" x14ac:dyDescent="0.25">
      <c r="B37" s="152" t="s">
        <v>91</v>
      </c>
      <c r="C37" s="31">
        <v>900</v>
      </c>
      <c r="D37" s="153">
        <v>900</v>
      </c>
    </row>
    <row r="38" spans="2:4" x14ac:dyDescent="0.25">
      <c r="B38" s="152" t="s">
        <v>205</v>
      </c>
      <c r="C38" s="31">
        <f>C36*C37</f>
        <v>51300</v>
      </c>
      <c r="D38" s="153">
        <f>D36*D37</f>
        <v>64800</v>
      </c>
    </row>
    <row r="39" spans="2:4" x14ac:dyDescent="0.25">
      <c r="B39" s="152" t="s">
        <v>19</v>
      </c>
      <c r="C39" s="31">
        <v>-400</v>
      </c>
      <c r="D39" s="153">
        <v>-800</v>
      </c>
    </row>
    <row r="40" spans="2:4" ht="14.4" thickBot="1" x14ac:dyDescent="0.3">
      <c r="B40" s="154" t="s">
        <v>204</v>
      </c>
      <c r="C40" s="155">
        <f>C38+C39</f>
        <v>50900</v>
      </c>
      <c r="D40" s="156">
        <f>D38+D39</f>
        <v>64000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2C4-A0CA-4747-9336-2B3557A9BC9B}">
  <sheetPr>
    <tabColor rgb="FFFF0000"/>
  </sheetPr>
  <dimension ref="B2:I45"/>
  <sheetViews>
    <sheetView zoomScale="82" zoomScaleNormal="160" workbookViewId="0">
      <selection activeCell="F18" sqref="F18:F25"/>
    </sheetView>
  </sheetViews>
  <sheetFormatPr defaultColWidth="8.09765625" defaultRowHeight="13.8" x14ac:dyDescent="0.25"/>
  <cols>
    <col min="1" max="1" width="3.5" customWidth="1"/>
    <col min="2" max="2" width="18.09765625" customWidth="1"/>
    <col min="3" max="3" width="28.09765625" bestFit="1" customWidth="1"/>
    <col min="4" max="4" width="14.3984375" bestFit="1" customWidth="1"/>
    <col min="5" max="5" width="16" customWidth="1"/>
    <col min="6" max="6" width="9.19921875" bestFit="1" customWidth="1"/>
    <col min="7" max="8" width="40.69921875" bestFit="1" customWidth="1"/>
    <col min="9" max="9" width="18.09765625" bestFit="1" customWidth="1"/>
    <col min="10" max="10" width="11" bestFit="1" customWidth="1"/>
    <col min="11" max="11" width="9.09765625" bestFit="1" customWidth="1"/>
    <col min="12" max="12" width="10.09765625" bestFit="1" customWidth="1"/>
  </cols>
  <sheetData>
    <row r="2" spans="2:9" x14ac:dyDescent="0.25">
      <c r="B2" s="71" t="s">
        <v>94</v>
      </c>
      <c r="C2" s="6"/>
      <c r="I2" s="14"/>
    </row>
    <row r="3" spans="2:9" ht="13.5" customHeight="1" x14ac:dyDescent="0.25">
      <c r="B3" s="6"/>
      <c r="C3" s="6"/>
    </row>
    <row r="5" spans="2:9" x14ac:dyDescent="0.25">
      <c r="B5" s="1" t="s">
        <v>111</v>
      </c>
    </row>
    <row r="6" spans="2:9" x14ac:dyDescent="0.25">
      <c r="B6" s="1"/>
    </row>
    <row r="7" spans="2:9" x14ac:dyDescent="0.25">
      <c r="B7" s="3" t="s">
        <v>10</v>
      </c>
      <c r="C7" s="13" t="s">
        <v>11</v>
      </c>
    </row>
    <row r="8" spans="2:9" x14ac:dyDescent="0.25">
      <c r="B8" s="2" t="s">
        <v>12</v>
      </c>
      <c r="C8" s="12">
        <v>2500</v>
      </c>
    </row>
    <row r="9" spans="2:9" x14ac:dyDescent="0.25">
      <c r="B9" s="2" t="s">
        <v>155</v>
      </c>
      <c r="C9" s="12">
        <v>2000</v>
      </c>
    </row>
    <row r="10" spans="2:9" x14ac:dyDescent="0.25">
      <c r="B10" s="2" t="s">
        <v>156</v>
      </c>
      <c r="C10" s="12">
        <v>1800</v>
      </c>
    </row>
    <row r="11" spans="2:9" x14ac:dyDescent="0.25">
      <c r="B11" s="2" t="s">
        <v>14</v>
      </c>
      <c r="C11" s="12">
        <v>1800</v>
      </c>
    </row>
    <row r="12" spans="2:9" x14ac:dyDescent="0.25">
      <c r="B12" s="2" t="s">
        <v>65</v>
      </c>
      <c r="C12" s="12">
        <v>1500</v>
      </c>
    </row>
    <row r="13" spans="2:9" x14ac:dyDescent="0.25">
      <c r="B13" s="2" t="s">
        <v>140</v>
      </c>
      <c r="C13" s="12">
        <v>1500</v>
      </c>
    </row>
    <row r="14" spans="2:9" x14ac:dyDescent="0.25">
      <c r="B14" s="129" t="s">
        <v>68</v>
      </c>
      <c r="C14" s="128">
        <v>2000</v>
      </c>
    </row>
    <row r="16" spans="2:9" x14ac:dyDescent="0.25">
      <c r="B16" s="6" t="s">
        <v>179</v>
      </c>
    </row>
    <row r="17" spans="2:7" x14ac:dyDescent="0.25">
      <c r="B17" s="3" t="s">
        <v>178</v>
      </c>
      <c r="C17" s="13" t="s">
        <v>31</v>
      </c>
      <c r="D17" s="13" t="s">
        <v>194</v>
      </c>
      <c r="E17" s="13" t="s">
        <v>47</v>
      </c>
      <c r="F17" s="149" t="s">
        <v>197</v>
      </c>
    </row>
    <row r="18" spans="2:7" x14ac:dyDescent="0.25">
      <c r="B18" s="126" t="s">
        <v>67</v>
      </c>
      <c r="C18" s="12">
        <f>5000*1.3</f>
        <v>6500</v>
      </c>
      <c r="D18" s="12"/>
      <c r="E18" s="128">
        <f t="shared" ref="E18:E24" si="0">C18-D18</f>
        <v>6500</v>
      </c>
      <c r="F18" s="31">
        <f>E18/14</f>
        <v>464.28571428571428</v>
      </c>
    </row>
    <row r="19" spans="2:7" x14ac:dyDescent="0.25">
      <c r="B19" s="126" t="s">
        <v>63</v>
      </c>
      <c r="C19" s="12">
        <f>3500*1.3</f>
        <v>4550</v>
      </c>
      <c r="D19" s="12"/>
      <c r="E19" s="128">
        <f t="shared" si="0"/>
        <v>4550</v>
      </c>
      <c r="F19" s="31">
        <f t="shared" ref="F19:F25" si="1">E19/14</f>
        <v>325</v>
      </c>
    </row>
    <row r="20" spans="2:7" x14ac:dyDescent="0.25">
      <c r="B20" s="126" t="s">
        <v>151</v>
      </c>
      <c r="C20" s="12">
        <f>5500*1.3</f>
        <v>7150</v>
      </c>
      <c r="D20" s="12"/>
      <c r="E20" s="128">
        <f t="shared" si="0"/>
        <v>7150</v>
      </c>
      <c r="F20" s="31">
        <f t="shared" si="1"/>
        <v>510.71428571428572</v>
      </c>
    </row>
    <row r="21" spans="2:7" x14ac:dyDescent="0.25">
      <c r="B21" s="126" t="s">
        <v>65</v>
      </c>
      <c r="C21" s="12">
        <f>5000*1.3</f>
        <v>6500</v>
      </c>
      <c r="D21" s="12"/>
      <c r="E21" s="128">
        <f t="shared" si="0"/>
        <v>6500</v>
      </c>
      <c r="F21" s="31">
        <f t="shared" si="1"/>
        <v>464.28571428571428</v>
      </c>
    </row>
    <row r="22" spans="2:7" x14ac:dyDescent="0.25">
      <c r="B22" s="126" t="s">
        <v>38</v>
      </c>
      <c r="C22" s="12">
        <f>8000*1.3</f>
        <v>10400</v>
      </c>
      <c r="D22" s="12"/>
      <c r="E22" s="128">
        <f t="shared" si="0"/>
        <v>10400</v>
      </c>
      <c r="F22" s="31">
        <f t="shared" si="1"/>
        <v>742.85714285714289</v>
      </c>
    </row>
    <row r="23" spans="2:7" x14ac:dyDescent="0.25">
      <c r="B23" s="126" t="s">
        <v>22</v>
      </c>
      <c r="C23" s="12">
        <f>8000*1.3</f>
        <v>10400</v>
      </c>
      <c r="D23" s="12"/>
      <c r="E23" s="128">
        <f t="shared" si="0"/>
        <v>10400</v>
      </c>
      <c r="F23" s="31">
        <f t="shared" si="1"/>
        <v>742.85714285714289</v>
      </c>
    </row>
    <row r="24" spans="2:7" x14ac:dyDescent="0.25">
      <c r="B24" s="126" t="s">
        <v>21</v>
      </c>
      <c r="C24" s="12">
        <f>20000*1.3</f>
        <v>26000</v>
      </c>
      <c r="D24" s="12"/>
      <c r="E24" s="128">
        <f t="shared" si="0"/>
        <v>26000</v>
      </c>
      <c r="F24" s="31">
        <f t="shared" si="1"/>
        <v>1857.1428571428571</v>
      </c>
    </row>
    <row r="25" spans="2:7" x14ac:dyDescent="0.25">
      <c r="B25" s="127" t="s">
        <v>68</v>
      </c>
      <c r="C25" s="128">
        <v>2500</v>
      </c>
      <c r="D25" s="128"/>
      <c r="E25" s="128">
        <f>C25-D25</f>
        <v>2500</v>
      </c>
      <c r="F25" s="31">
        <f t="shared" si="1"/>
        <v>178.57142857142858</v>
      </c>
    </row>
    <row r="28" spans="2:7" x14ac:dyDescent="0.25">
      <c r="B28" s="42"/>
      <c r="C28" s="34"/>
    </row>
    <row r="29" spans="2:7" x14ac:dyDescent="0.25">
      <c r="B29" s="6"/>
      <c r="C29" s="52"/>
    </row>
    <row r="30" spans="2:7" x14ac:dyDescent="0.25">
      <c r="B30" s="6"/>
      <c r="C30" s="52"/>
    </row>
    <row r="31" spans="2:7" x14ac:dyDescent="0.25">
      <c r="B31" s="6"/>
      <c r="C31" s="52"/>
    </row>
    <row r="32" spans="2:7" x14ac:dyDescent="0.25">
      <c r="B32" s="48"/>
      <c r="C32" s="49"/>
      <c r="D32" s="47"/>
      <c r="E32" s="47"/>
      <c r="F32" s="47"/>
      <c r="G32" s="47"/>
    </row>
    <row r="33" spans="2:8" x14ac:dyDescent="0.25">
      <c r="B33" s="6"/>
      <c r="C33" s="35"/>
    </row>
    <row r="34" spans="2:8" x14ac:dyDescent="0.25">
      <c r="B34" s="6"/>
      <c r="C34" s="53"/>
    </row>
    <row r="37" spans="2:8" x14ac:dyDescent="0.25">
      <c r="B37" s="14"/>
      <c r="C37" s="6"/>
    </row>
    <row r="38" spans="2:8" x14ac:dyDescent="0.25">
      <c r="B38" s="6"/>
      <c r="C38" s="6"/>
    </row>
    <row r="39" spans="2:8" x14ac:dyDescent="0.25">
      <c r="B39" s="42"/>
      <c r="C39" s="34"/>
    </row>
    <row r="40" spans="2:8" x14ac:dyDescent="0.25">
      <c r="B40" s="6"/>
      <c r="C40" s="52"/>
    </row>
    <row r="41" spans="2:8" x14ac:dyDescent="0.25">
      <c r="B41" s="6"/>
      <c r="C41" s="52"/>
    </row>
    <row r="42" spans="2:8" x14ac:dyDescent="0.25">
      <c r="B42" s="6"/>
      <c r="C42" s="52"/>
    </row>
    <row r="43" spans="2:8" x14ac:dyDescent="0.25">
      <c r="B43" s="48"/>
      <c r="C43" s="49"/>
      <c r="D43" s="47"/>
      <c r="E43" s="47"/>
      <c r="F43" s="47"/>
      <c r="G43" s="47"/>
    </row>
    <row r="44" spans="2:8" x14ac:dyDescent="0.25">
      <c r="B44" s="6"/>
      <c r="C44" s="35"/>
    </row>
    <row r="45" spans="2:8" x14ac:dyDescent="0.25">
      <c r="B45" s="6"/>
      <c r="C45" s="53"/>
      <c r="H45" s="4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1772-8C50-4755-871E-224DAD513560}">
  <sheetPr>
    <tabColor rgb="FFFF0000"/>
  </sheetPr>
  <dimension ref="B2:I56"/>
  <sheetViews>
    <sheetView topLeftCell="A16" zoomScale="82" zoomScaleNormal="160" workbookViewId="0">
      <selection activeCell="C7" sqref="C7"/>
    </sheetView>
  </sheetViews>
  <sheetFormatPr defaultColWidth="8.09765625" defaultRowHeight="13.8" x14ac:dyDescent="0.25"/>
  <cols>
    <col min="1" max="1" width="3.5" customWidth="1"/>
    <col min="2" max="2" width="18.09765625" bestFit="1" customWidth="1"/>
    <col min="3" max="3" width="28.09765625" bestFit="1" customWidth="1"/>
    <col min="4" max="4" width="41.59765625" customWidth="1"/>
    <col min="5" max="5" width="16" customWidth="1"/>
    <col min="6" max="6" width="17.296875" bestFit="1" customWidth="1"/>
    <col min="7" max="8" width="40.69921875" bestFit="1" customWidth="1"/>
    <col min="9" max="9" width="18.09765625" bestFit="1" customWidth="1"/>
    <col min="10" max="10" width="11" bestFit="1" customWidth="1"/>
    <col min="11" max="11" width="9.09765625" bestFit="1" customWidth="1"/>
    <col min="12" max="12" width="10.09765625" bestFit="1" customWidth="1"/>
  </cols>
  <sheetData>
    <row r="2" spans="2:9" x14ac:dyDescent="0.25">
      <c r="B2" s="71" t="s">
        <v>94</v>
      </c>
      <c r="C2" s="6"/>
      <c r="I2" s="14"/>
    </row>
    <row r="3" spans="2:9" x14ac:dyDescent="0.25">
      <c r="B3" s="6"/>
      <c r="C3" s="6"/>
    </row>
    <row r="4" spans="2:9" x14ac:dyDescent="0.25">
      <c r="B4" s="82" t="s">
        <v>80</v>
      </c>
      <c r="C4" s="83" t="s">
        <v>79</v>
      </c>
      <c r="D4" s="82" t="s">
        <v>78</v>
      </c>
    </row>
    <row r="5" spans="2:9" x14ac:dyDescent="0.25">
      <c r="B5" s="73" t="s">
        <v>77</v>
      </c>
      <c r="C5" s="74" t="str">
        <f>'Project Details'!C5</f>
        <v>COG0000000</v>
      </c>
      <c r="D5" s="69" t="s">
        <v>84</v>
      </c>
    </row>
    <row r="6" spans="2:9" x14ac:dyDescent="0.25">
      <c r="B6" s="73" t="s">
        <v>81</v>
      </c>
      <c r="C6" s="75" t="s">
        <v>85</v>
      </c>
      <c r="D6" s="69" t="s">
        <v>84</v>
      </c>
    </row>
    <row r="7" spans="2:9" x14ac:dyDescent="0.25">
      <c r="B7" s="73" t="s">
        <v>86</v>
      </c>
      <c r="C7" s="75" t="s">
        <v>87</v>
      </c>
      <c r="D7" s="69" t="s">
        <v>84</v>
      </c>
    </row>
    <row r="8" spans="2:9" x14ac:dyDescent="0.25">
      <c r="B8" s="73" t="s">
        <v>82</v>
      </c>
      <c r="C8" s="75" t="s">
        <v>88</v>
      </c>
      <c r="D8" s="69" t="s">
        <v>89</v>
      </c>
    </row>
    <row r="10" spans="2:9" x14ac:dyDescent="0.25">
      <c r="B10" s="84" t="s">
        <v>80</v>
      </c>
      <c r="C10" s="84" t="s">
        <v>95</v>
      </c>
      <c r="D10" s="84" t="s">
        <v>90</v>
      </c>
      <c r="E10" s="84" t="s">
        <v>91</v>
      </c>
      <c r="F10" s="84" t="s">
        <v>143</v>
      </c>
      <c r="G10" s="84" t="s">
        <v>78</v>
      </c>
    </row>
    <row r="11" spans="2:9" x14ac:dyDescent="0.25">
      <c r="B11" s="72" t="s">
        <v>67</v>
      </c>
      <c r="C11" s="76">
        <f>(2*8)</f>
        <v>16</v>
      </c>
      <c r="D11" s="76"/>
      <c r="E11" s="76"/>
      <c r="F11" s="76" t="s">
        <v>144</v>
      </c>
      <c r="G11" s="69" t="s">
        <v>89</v>
      </c>
    </row>
    <row r="12" spans="2:9" x14ac:dyDescent="0.25">
      <c r="B12" s="72" t="s">
        <v>63</v>
      </c>
      <c r="C12" s="76">
        <f t="shared" ref="C12:C17" si="0">(2*8)</f>
        <v>16</v>
      </c>
      <c r="D12" s="76"/>
      <c r="E12" s="76"/>
      <c r="F12" s="76" t="s">
        <v>146</v>
      </c>
      <c r="G12" s="69" t="s">
        <v>89</v>
      </c>
    </row>
    <row r="13" spans="2:9" x14ac:dyDescent="0.25">
      <c r="B13" s="72" t="s">
        <v>65</v>
      </c>
      <c r="C13" s="76">
        <f t="shared" si="0"/>
        <v>16</v>
      </c>
      <c r="D13" s="76"/>
      <c r="E13" s="76"/>
      <c r="F13" s="76" t="s">
        <v>147</v>
      </c>
      <c r="G13" s="69" t="s">
        <v>89</v>
      </c>
    </row>
    <row r="14" spans="2:9" x14ac:dyDescent="0.25">
      <c r="B14" s="72" t="s">
        <v>38</v>
      </c>
      <c r="C14" s="76">
        <f t="shared" si="0"/>
        <v>16</v>
      </c>
      <c r="D14" s="76"/>
      <c r="E14" s="76"/>
      <c r="F14" s="76" t="s">
        <v>148</v>
      </c>
      <c r="G14" s="69" t="s">
        <v>89</v>
      </c>
    </row>
    <row r="15" spans="2:9" x14ac:dyDescent="0.25">
      <c r="B15" s="72" t="s">
        <v>22</v>
      </c>
      <c r="C15" s="76">
        <f t="shared" si="0"/>
        <v>16</v>
      </c>
      <c r="D15" s="76"/>
      <c r="E15" s="76"/>
      <c r="F15" s="76" t="s">
        <v>149</v>
      </c>
      <c r="G15" s="69" t="s">
        <v>89</v>
      </c>
    </row>
    <row r="16" spans="2:9" x14ac:dyDescent="0.25">
      <c r="B16" s="72" t="s">
        <v>21</v>
      </c>
      <c r="C16" s="76">
        <f t="shared" si="0"/>
        <v>16</v>
      </c>
      <c r="D16" s="76"/>
      <c r="E16" s="76"/>
      <c r="F16" s="76"/>
      <c r="G16" s="69" t="s">
        <v>89</v>
      </c>
    </row>
    <row r="17" spans="2:8" x14ac:dyDescent="0.25">
      <c r="B17" s="72" t="s">
        <v>39</v>
      </c>
      <c r="C17" s="76">
        <f t="shared" si="0"/>
        <v>16</v>
      </c>
      <c r="D17" s="76"/>
      <c r="E17" s="76"/>
      <c r="F17" s="76" t="s">
        <v>145</v>
      </c>
      <c r="G17" s="69" t="s">
        <v>89</v>
      </c>
      <c r="H17" s="47"/>
    </row>
    <row r="19" spans="2:8" x14ac:dyDescent="0.25">
      <c r="B19" s="3" t="s">
        <v>10</v>
      </c>
      <c r="C19" s="13" t="s">
        <v>11</v>
      </c>
    </row>
    <row r="20" spans="2:8" x14ac:dyDescent="0.25">
      <c r="B20" s="2" t="s">
        <v>12</v>
      </c>
      <c r="C20" s="12">
        <v>2500</v>
      </c>
    </row>
    <row r="21" spans="2:8" x14ac:dyDescent="0.25">
      <c r="B21" s="2" t="s">
        <v>13</v>
      </c>
      <c r="C21" s="12">
        <v>1800</v>
      </c>
    </row>
    <row r="22" spans="2:8" x14ac:dyDescent="0.25">
      <c r="B22" s="2" t="s">
        <v>14</v>
      </c>
      <c r="C22" s="12">
        <v>1500</v>
      </c>
    </row>
    <row r="23" spans="2:8" x14ac:dyDescent="0.25">
      <c r="B23" s="2" t="s">
        <v>65</v>
      </c>
      <c r="C23" s="12">
        <v>1300</v>
      </c>
    </row>
    <row r="24" spans="2:8" x14ac:dyDescent="0.25">
      <c r="B24" s="2" t="s">
        <v>139</v>
      </c>
      <c r="C24" s="12">
        <v>1500</v>
      </c>
    </row>
    <row r="25" spans="2:8" x14ac:dyDescent="0.25">
      <c r="B25" s="2" t="s">
        <v>140</v>
      </c>
      <c r="C25" s="12">
        <v>1200</v>
      </c>
    </row>
    <row r="26" spans="2:8" x14ac:dyDescent="0.25">
      <c r="B26" s="2" t="s">
        <v>68</v>
      </c>
      <c r="C26" s="12">
        <v>2000</v>
      </c>
    </row>
    <row r="28" spans="2:8" x14ac:dyDescent="0.25">
      <c r="B28" s="3" t="s">
        <v>152</v>
      </c>
      <c r="C28" s="13" t="s">
        <v>31</v>
      </c>
    </row>
    <row r="29" spans="2:8" x14ac:dyDescent="0.25">
      <c r="B29" s="44" t="s">
        <v>67</v>
      </c>
      <c r="C29" s="70">
        <f>4500*1.3</f>
        <v>5850</v>
      </c>
    </row>
    <row r="30" spans="2:8" x14ac:dyDescent="0.25">
      <c r="B30" s="44" t="s">
        <v>63</v>
      </c>
      <c r="C30" s="70">
        <f>3500*1.3</f>
        <v>4550</v>
      </c>
    </row>
    <row r="31" spans="2:8" x14ac:dyDescent="0.25">
      <c r="B31" s="44" t="s">
        <v>151</v>
      </c>
      <c r="C31" s="70">
        <f>4500*1.3</f>
        <v>5850</v>
      </c>
    </row>
    <row r="32" spans="2:8" x14ac:dyDescent="0.25">
      <c r="B32" s="44" t="s">
        <v>65</v>
      </c>
      <c r="C32" s="70">
        <f>5000*1.3</f>
        <v>6500</v>
      </c>
    </row>
    <row r="33" spans="2:7" x14ac:dyDescent="0.25">
      <c r="B33" s="44" t="s">
        <v>38</v>
      </c>
      <c r="C33" s="70">
        <f>7000*1.3</f>
        <v>9100</v>
      </c>
    </row>
    <row r="34" spans="2:7" x14ac:dyDescent="0.25">
      <c r="B34" s="44" t="s">
        <v>22</v>
      </c>
      <c r="C34" s="70">
        <f>7000*1.3</f>
        <v>9100</v>
      </c>
    </row>
    <row r="35" spans="2:7" x14ac:dyDescent="0.25">
      <c r="B35" s="44" t="s">
        <v>21</v>
      </c>
      <c r="C35" s="70">
        <f>10000*1.3</f>
        <v>13000</v>
      </c>
    </row>
    <row r="39" spans="2:7" x14ac:dyDescent="0.25">
      <c r="B39" s="42"/>
      <c r="C39" s="34"/>
    </row>
    <row r="40" spans="2:7" x14ac:dyDescent="0.25">
      <c r="B40" s="6"/>
      <c r="C40" s="52"/>
    </row>
    <row r="41" spans="2:7" x14ac:dyDescent="0.25">
      <c r="B41" s="6"/>
      <c r="C41" s="52"/>
    </row>
    <row r="42" spans="2:7" x14ac:dyDescent="0.25">
      <c r="B42" s="6"/>
      <c r="C42" s="52"/>
    </row>
    <row r="43" spans="2:7" x14ac:dyDescent="0.25">
      <c r="B43" s="48"/>
      <c r="C43" s="49"/>
      <c r="D43" s="47"/>
      <c r="E43" s="47"/>
      <c r="F43" s="47"/>
      <c r="G43" s="47"/>
    </row>
    <row r="44" spans="2:7" x14ac:dyDescent="0.25">
      <c r="B44" s="6"/>
      <c r="C44" s="35"/>
    </row>
    <row r="45" spans="2:7" x14ac:dyDescent="0.25">
      <c r="B45" s="6"/>
      <c r="C45" s="53"/>
    </row>
    <row r="48" spans="2:7" x14ac:dyDescent="0.25">
      <c r="B48" s="14"/>
      <c r="C48" s="6"/>
    </row>
    <row r="49" spans="2:8" x14ac:dyDescent="0.25">
      <c r="B49" s="6"/>
      <c r="C49" s="6"/>
    </row>
    <row r="50" spans="2:8" x14ac:dyDescent="0.25">
      <c r="B50" s="42"/>
      <c r="C50" s="34"/>
    </row>
    <row r="51" spans="2:8" x14ac:dyDescent="0.25">
      <c r="B51" s="6"/>
      <c r="C51" s="52"/>
    </row>
    <row r="52" spans="2:8" x14ac:dyDescent="0.25">
      <c r="B52" s="6"/>
      <c r="C52" s="52"/>
    </row>
    <row r="53" spans="2:8" x14ac:dyDescent="0.25">
      <c r="B53" s="6"/>
      <c r="C53" s="52"/>
    </row>
    <row r="54" spans="2:8" x14ac:dyDescent="0.25">
      <c r="B54" s="48"/>
      <c r="C54" s="49"/>
      <c r="D54" s="47"/>
      <c r="E54" s="47"/>
      <c r="F54" s="47"/>
      <c r="G54" s="47"/>
    </row>
    <row r="55" spans="2:8" x14ac:dyDescent="0.25">
      <c r="B55" s="6"/>
      <c r="C55" s="35"/>
    </row>
    <row r="56" spans="2:8" x14ac:dyDescent="0.25">
      <c r="B56" s="6"/>
      <c r="C56" s="53"/>
      <c r="H56" s="4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C66A-8FCC-4960-B698-DF58565230A1}">
  <sheetPr>
    <tabColor rgb="FFFFFF00"/>
  </sheetPr>
  <dimension ref="B1:O12"/>
  <sheetViews>
    <sheetView zoomScale="78" zoomScaleNormal="78" workbookViewId="0">
      <selection activeCell="C7" sqref="C7"/>
    </sheetView>
  </sheetViews>
  <sheetFormatPr defaultRowHeight="13.8" x14ac:dyDescent="0.25"/>
  <cols>
    <col min="1" max="1" width="4" customWidth="1"/>
    <col min="2" max="2" width="5.59765625" customWidth="1"/>
    <col min="3" max="3" width="28.59765625" customWidth="1"/>
    <col min="4" max="4" width="6.296875" customWidth="1"/>
    <col min="5" max="5" width="7.296875" customWidth="1"/>
    <col min="6" max="6" width="15.59765625" customWidth="1"/>
    <col min="7" max="7" width="14.5" bestFit="1" customWidth="1"/>
    <col min="8" max="8" width="14" bestFit="1" customWidth="1"/>
    <col min="9" max="9" width="16.59765625" bestFit="1" customWidth="1"/>
    <col min="10" max="10" width="9.09765625" bestFit="1" customWidth="1"/>
    <col min="11" max="12" width="13.59765625" customWidth="1"/>
    <col min="13" max="13" width="11.59765625" customWidth="1"/>
    <col min="14" max="14" width="13.09765625" bestFit="1" customWidth="1"/>
    <col min="15" max="15" width="8.09765625" bestFit="1" customWidth="1"/>
    <col min="16" max="16" width="11.59765625" bestFit="1" customWidth="1"/>
    <col min="17" max="17" width="10.09765625" bestFit="1" customWidth="1"/>
    <col min="18" max="18" width="9.5" bestFit="1" customWidth="1"/>
  </cols>
  <sheetData>
    <row r="1" spans="2:15" x14ac:dyDescent="0.25">
      <c r="E1" s="40"/>
    </row>
    <row r="2" spans="2:15" x14ac:dyDescent="0.25">
      <c r="C2" s="65" t="s">
        <v>69</v>
      </c>
      <c r="D2" s="65"/>
      <c r="J2" s="40"/>
      <c r="K2" s="40"/>
      <c r="N2" s="6"/>
    </row>
    <row r="3" spans="2:15" ht="26.4" x14ac:dyDescent="0.25">
      <c r="B3" s="22" t="s">
        <v>48</v>
      </c>
      <c r="C3" s="23" t="s">
        <v>49</v>
      </c>
      <c r="D3" s="22" t="s">
        <v>50</v>
      </c>
      <c r="E3" s="22" t="s">
        <v>142</v>
      </c>
      <c r="F3" s="22" t="s">
        <v>51</v>
      </c>
      <c r="G3" s="22" t="s">
        <v>52</v>
      </c>
      <c r="H3" s="22" t="s">
        <v>141</v>
      </c>
      <c r="I3" s="22" t="s">
        <v>53</v>
      </c>
      <c r="J3" s="22" t="s">
        <v>66</v>
      </c>
      <c r="K3" s="22" t="s">
        <v>57</v>
      </c>
      <c r="L3" s="22" t="s">
        <v>54</v>
      </c>
      <c r="M3" s="22" t="s">
        <v>55</v>
      </c>
      <c r="N3" s="6"/>
      <c r="O3" s="6"/>
    </row>
    <row r="4" spans="2:15" x14ac:dyDescent="0.25">
      <c r="B4" s="24">
        <v>1</v>
      </c>
      <c r="C4" s="114"/>
      <c r="D4" s="114">
        <v>0</v>
      </c>
      <c r="E4" s="115">
        <v>0</v>
      </c>
      <c r="F4" s="111"/>
      <c r="G4" s="111">
        <f>E4*F4*D4</f>
        <v>0</v>
      </c>
      <c r="H4" s="116">
        <v>0.2</v>
      </c>
      <c r="I4" s="31">
        <f>G4*(1+H4)</f>
        <v>0</v>
      </c>
      <c r="J4" s="31">
        <f>I4*0.08</f>
        <v>0</v>
      </c>
      <c r="K4" s="31">
        <f>I4*1.08</f>
        <v>0</v>
      </c>
      <c r="L4" s="31">
        <f>I4-G4</f>
        <v>0</v>
      </c>
      <c r="M4" s="56" t="e">
        <f t="shared" ref="M4:M7" si="0">L4/G4</f>
        <v>#DIV/0!</v>
      </c>
      <c r="N4" s="6"/>
      <c r="O4" s="6"/>
    </row>
    <row r="5" spans="2:15" x14ac:dyDescent="0.25">
      <c r="B5" s="24">
        <v>2</v>
      </c>
      <c r="C5" s="114"/>
      <c r="D5" s="114"/>
      <c r="E5" s="115">
        <v>0</v>
      </c>
      <c r="F5" s="111"/>
      <c r="G5" s="111">
        <f t="shared" ref="G5:G6" si="1">E5*F5*D5</f>
        <v>0</v>
      </c>
      <c r="H5" s="116">
        <v>0.2</v>
      </c>
      <c r="I5" s="31">
        <f t="shared" ref="I5:I6" si="2">G5*(1+H5)</f>
        <v>0</v>
      </c>
      <c r="J5" s="31">
        <f>I5*0.08</f>
        <v>0</v>
      </c>
      <c r="K5" s="66">
        <f>I5*1.08</f>
        <v>0</v>
      </c>
      <c r="L5" s="31">
        <f>I5-G5</f>
        <v>0</v>
      </c>
      <c r="M5" s="56" t="e">
        <f t="shared" si="0"/>
        <v>#DIV/0!</v>
      </c>
      <c r="N5" s="6"/>
      <c r="O5" s="6"/>
    </row>
    <row r="6" spans="2:15" x14ac:dyDescent="0.25">
      <c r="B6" s="24">
        <v>3</v>
      </c>
      <c r="C6" s="28"/>
      <c r="D6" s="28"/>
      <c r="E6" s="41">
        <v>0</v>
      </c>
      <c r="F6" s="31"/>
      <c r="G6" s="31">
        <f t="shared" si="1"/>
        <v>0</v>
      </c>
      <c r="H6" s="101">
        <v>0.2</v>
      </c>
      <c r="I6" s="31">
        <f t="shared" si="2"/>
        <v>0</v>
      </c>
      <c r="J6" s="31">
        <f>I6*0.08</f>
        <v>0</v>
      </c>
      <c r="K6" s="31">
        <f>I6*1.08</f>
        <v>0</v>
      </c>
      <c r="L6" s="31">
        <f>I6-G6</f>
        <v>0</v>
      </c>
      <c r="M6" s="56" t="e">
        <f t="shared" si="0"/>
        <v>#DIV/0!</v>
      </c>
      <c r="N6" s="52">
        <f>SUM(I6:I6)</f>
        <v>0</v>
      </c>
      <c r="O6" s="52">
        <f>0.08*N6</f>
        <v>0</v>
      </c>
    </row>
    <row r="7" spans="2:15" x14ac:dyDescent="0.25">
      <c r="B7" s="54"/>
      <c r="C7" s="19" t="s">
        <v>47</v>
      </c>
      <c r="D7" s="19"/>
      <c r="E7" s="19"/>
      <c r="F7" s="19"/>
      <c r="G7" s="55">
        <f>SUM(G4:G6)</f>
        <v>0</v>
      </c>
      <c r="H7" s="55"/>
      <c r="I7" s="55">
        <f>SUM(I4:I6)</f>
        <v>0</v>
      </c>
      <c r="J7" s="55">
        <f>SUM(J4:J6)</f>
        <v>0</v>
      </c>
      <c r="K7" s="55">
        <f>SUM(K4:K6)</f>
        <v>0</v>
      </c>
      <c r="L7" s="55">
        <f>SUM(L4:L6)</f>
        <v>0</v>
      </c>
      <c r="M7" s="56" t="e">
        <f t="shared" si="0"/>
        <v>#DIV/0!</v>
      </c>
      <c r="N7" s="6"/>
    </row>
    <row r="8" spans="2:15" x14ac:dyDescent="0.25">
      <c r="E8" s="40"/>
      <c r="I8" s="64"/>
    </row>
    <row r="9" spans="2:15" x14ac:dyDescent="0.25">
      <c r="E9" s="40"/>
      <c r="I9" s="63"/>
    </row>
    <row r="10" spans="2:15" x14ac:dyDescent="0.25">
      <c r="E10" s="40"/>
    </row>
    <row r="11" spans="2:15" x14ac:dyDescent="0.25">
      <c r="E11" s="40"/>
    </row>
    <row r="12" spans="2:15" x14ac:dyDescent="0.25">
      <c r="E12" s="4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1f8641-e235-4df8-852a-01c1f489dc77">
      <Terms xmlns="http://schemas.microsoft.com/office/infopath/2007/PartnerControls"/>
    </lcf76f155ced4ddcb4097134ff3c332f>
    <SharedWithUsers xmlns="937ea5d1-6906-4623-84d8-943a9c994a6f">
      <UserInfo>
        <DisplayName/>
        <AccountId xsi:nil="true"/>
        <AccountType/>
      </UserInfo>
    </SharedWithUsers>
    <MediaLengthInSeconds xmlns="031f8641-e235-4df8-852a-01c1f489dc7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912CF9AE26384E86617E81A69D131D" ma:contentTypeVersion="20" ma:contentTypeDescription="Create a new document." ma:contentTypeScope="" ma:versionID="068be768b201ac8138638daf8d0e27d5">
  <xsd:schema xmlns:xsd="http://www.w3.org/2001/XMLSchema" xmlns:xs="http://www.w3.org/2001/XMLSchema" xmlns:p="http://schemas.microsoft.com/office/2006/metadata/properties" xmlns:ns1="http://schemas.microsoft.com/sharepoint/v3" xmlns:ns2="031f8641-e235-4df8-852a-01c1f489dc77" xmlns:ns3="937ea5d1-6906-4623-84d8-943a9c994a6f" targetNamespace="http://schemas.microsoft.com/office/2006/metadata/properties" ma:root="true" ma:fieldsID="15376fe93b0e564f07e45a61dd15a667" ns1:_="" ns2:_="" ns3:_="">
    <xsd:import namespace="http://schemas.microsoft.com/sharepoint/v3"/>
    <xsd:import namespace="031f8641-e235-4df8-852a-01c1f489dc77"/>
    <xsd:import namespace="937ea5d1-6906-4623-84d8-943a9c994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f8641-e235-4df8-852a-01c1f489d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3b12882-fd9b-4fd7-aab8-ff887a466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ea5d1-6906-4623-84d8-943a9c994a6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DABCBB-2BEE-43C4-B873-1BDA0A4F6A93}">
  <ds:schemaRefs>
    <ds:schemaRef ds:uri="http://purl.org/dc/elements/1.1/"/>
    <ds:schemaRef ds:uri="f9af44bf-e762-4ce1-8ae4-171a4a4fa591"/>
    <ds:schemaRef ds:uri="http://schemas.microsoft.com/office/2006/documentManagement/types"/>
    <ds:schemaRef ds:uri="http://schemas.microsoft.com/office/infopath/2007/PartnerControls"/>
    <ds:schemaRef ds:uri="c6ec85d9-e6e0-4453-8d5a-e0bd508e89d7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031f8641-e235-4df8-852a-01c1f489dc77"/>
    <ds:schemaRef ds:uri="937ea5d1-6906-4623-84d8-943a9c994a6f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88AA67-79F9-4573-BD2D-65ADEE870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1f8641-e235-4df8-852a-01c1f489dc77"/>
    <ds:schemaRef ds:uri="937ea5d1-6906-4623-84d8-943a9c994a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FFB3F6-5628-4FA3-A8D2-6F9B1BA3A6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Summary</vt:lpstr>
      <vt:lpstr>Project Prof</vt:lpstr>
      <vt:lpstr>Project Details</vt:lpstr>
      <vt:lpstr>Project Cost-01</vt:lpstr>
      <vt:lpstr>Lic-UiPath</vt:lpstr>
      <vt:lpstr>Lic-Misc</vt:lpstr>
      <vt:lpstr>Lic-Cyc</vt:lpstr>
      <vt:lpstr>Support</vt:lpstr>
      <vt:lpstr>Master File</vt:lpstr>
      <vt:lpstr>Internal</vt:lpstr>
      <vt:lpstr>Hardware</vt:lpstr>
      <vt:lpstr>'Lic-Cyc'!Print_Area</vt:lpstr>
      <vt:lpstr>'Lic-UiPath'!Print_Area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2018-04-20T08:53:48Z</dcterms:created>
  <dcterms:modified xsi:type="dcterms:W3CDTF">2026-10-06T06:23:05Z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0x01010022912CF9AE26384E86617E81A69D131D</vt:lpwstr>
  </property>
  <property fmtid="{D5CDD505-2E9C-101B-9397-08002B2CF9AE}" pid="3" name="MediaServiceImageTags">
    <vt:lpwstr/>
  </property>
  <property fmtid="{D5CDD505-2E9C-101B-9397-08002B2CF9AE}" pid="4" name="Order">
    <vt:r8>39100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